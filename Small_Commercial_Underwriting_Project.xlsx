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994d7743288048/Desktop/Small Commercial Underwriting Project/"/>
    </mc:Choice>
  </mc:AlternateContent>
  <xr:revisionPtr revIDLastSave="0" documentId="8_{E0737BAF-02D7-4B23-BDFF-F2E6E097E3AB}" xr6:coauthVersionLast="47" xr6:coauthVersionMax="47" xr10:uidLastSave="{00000000-0000-0000-0000-000000000000}"/>
  <bookViews>
    <workbookView minimized="1" xWindow="5760" yWindow="3360" windowWidth="17280" windowHeight="8880" xr2:uid="{FC2D00DB-6451-4F20-9EB5-9EF3E51BAABB}"/>
  </bookViews>
  <sheets>
    <sheet name="Dashboard" sheetId="4" r:id="rId1"/>
    <sheet name="Applicant" sheetId="1" r:id="rId2"/>
    <sheet name="Guidelines" sheetId="2" r:id="rId3"/>
    <sheet name="Underwriting Review Tab" sheetId="3" r:id="rId4"/>
    <sheet name="Pivot Tables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3" l="1" a="1"/>
  <c r="N2" i="3" s="1"/>
  <c r="M2" i="3" a="1"/>
  <c r="M2" i="3" s="1"/>
  <c r="V2" i="3" a="1"/>
  <c r="V2" i="3" s="1"/>
  <c r="V3" i="3" a="1"/>
  <c r="V3" i="3" s="1"/>
  <c r="V4" i="3" a="1"/>
  <c r="V4" i="3" s="1"/>
  <c r="V5" i="3" a="1"/>
  <c r="V5" i="3" s="1"/>
  <c r="V6" i="3" a="1"/>
  <c r="V6" i="3" s="1"/>
  <c r="V7" i="3" a="1"/>
  <c r="V7" i="3" s="1"/>
  <c r="V8" i="3" a="1"/>
  <c r="V8" i="3" s="1"/>
  <c r="V9" i="3" a="1"/>
  <c r="V9" i="3"/>
  <c r="V10" i="3" a="1"/>
  <c r="V10" i="3" s="1"/>
  <c r="V11" i="3" a="1"/>
  <c r="V11" i="3" s="1"/>
  <c r="U2" i="3" a="1"/>
  <c r="U2" i="3"/>
  <c r="U3" i="3" a="1"/>
  <c r="U3" i="3" s="1"/>
  <c r="U4" i="3" a="1"/>
  <c r="U4" i="3" s="1"/>
  <c r="U5" i="3" a="1"/>
  <c r="U5" i="3" s="1"/>
  <c r="U6" i="3" a="1"/>
  <c r="U6" i="3"/>
  <c r="U7" i="3" a="1"/>
  <c r="U7" i="3" s="1"/>
  <c r="U8" i="3" a="1"/>
  <c r="U8" i="3" s="1"/>
  <c r="U9" i="3" a="1"/>
  <c r="U9" i="3" s="1"/>
  <c r="U10" i="3" a="1"/>
  <c r="U10" i="3" s="1"/>
  <c r="U11" i="3" a="1"/>
  <c r="U11" i="3" s="1"/>
  <c r="T2" i="3" a="1"/>
  <c r="T2" i="3" s="1"/>
  <c r="T3" i="3" a="1"/>
  <c r="T3" i="3" s="1"/>
  <c r="T4" i="3" a="1"/>
  <c r="T4" i="3" s="1"/>
  <c r="T5" i="3" a="1"/>
  <c r="T5" i="3" s="1"/>
  <c r="T6" i="3" a="1"/>
  <c r="T6" i="3" s="1"/>
  <c r="T7" i="3" a="1"/>
  <c r="T7" i="3" s="1"/>
  <c r="T8" i="3" a="1"/>
  <c r="T8" i="3" s="1"/>
  <c r="T9" i="3" a="1"/>
  <c r="T9" i="3" s="1"/>
  <c r="T10" i="3" a="1"/>
  <c r="T10" i="3" s="1"/>
  <c r="T11" i="3" a="1"/>
  <c r="T11" i="3" s="1"/>
  <c r="S2" i="3" a="1"/>
  <c r="S2" i="3" s="1"/>
  <c r="S3" i="3" a="1"/>
  <c r="S3" i="3" s="1"/>
  <c r="S4" i="3" a="1"/>
  <c r="S4" i="3" s="1"/>
  <c r="S5" i="3" a="1"/>
  <c r="S5" i="3" s="1"/>
  <c r="S6" i="3" a="1"/>
  <c r="S6" i="3" s="1"/>
  <c r="S7" i="3" a="1"/>
  <c r="S7" i="3" s="1"/>
  <c r="S8" i="3" a="1"/>
  <c r="S8" i="3" s="1"/>
  <c r="S9" i="3" a="1"/>
  <c r="S9" i="3" s="1"/>
  <c r="S10" i="3" a="1"/>
  <c r="S10" i="3" s="1"/>
  <c r="S11" i="3" a="1"/>
  <c r="S11" i="3" s="1"/>
  <c r="R2" i="3" a="1"/>
  <c r="R2" i="3" s="1"/>
  <c r="R3" i="3" a="1"/>
  <c r="R3" i="3" s="1"/>
  <c r="R4" i="3" a="1"/>
  <c r="R4" i="3" s="1"/>
  <c r="R5" i="3" a="1"/>
  <c r="R5" i="3" s="1"/>
  <c r="R6" i="3" a="1"/>
  <c r="R6" i="3" s="1"/>
  <c r="R7" i="3" a="1"/>
  <c r="R7" i="3" s="1"/>
  <c r="R8" i="3" a="1"/>
  <c r="R8" i="3" s="1"/>
  <c r="R9" i="3" a="1"/>
  <c r="R9" i="3" s="1"/>
  <c r="R10" i="3" a="1"/>
  <c r="R10" i="3" s="1"/>
  <c r="R11" i="3" a="1"/>
  <c r="R11" i="3" s="1"/>
  <c r="Q2" i="3" a="1"/>
  <c r="Q2" i="3" s="1"/>
  <c r="Q3" i="3" a="1"/>
  <c r="Q3" i="3" s="1"/>
  <c r="Q4" i="3" a="1"/>
  <c r="Q4" i="3" s="1"/>
  <c r="Q5" i="3" a="1"/>
  <c r="Q5" i="3" s="1"/>
  <c r="Q6" i="3" a="1"/>
  <c r="Q6" i="3" s="1"/>
  <c r="Q7" i="3" a="1"/>
  <c r="Q7" i="3" s="1"/>
  <c r="Q8" i="3" a="1"/>
  <c r="Q8" i="3" s="1"/>
  <c r="Q9" i="3" a="1"/>
  <c r="Q9" i="3" s="1"/>
  <c r="Q10" i="3" a="1"/>
  <c r="Q10" i="3" s="1"/>
  <c r="Q11" i="3" a="1"/>
  <c r="Q11" i="3" s="1"/>
  <c r="P2" i="3" a="1"/>
  <c r="P2" i="3" s="1"/>
  <c r="P3" i="3" a="1"/>
  <c r="P3" i="3"/>
  <c r="P4" i="3" a="1"/>
  <c r="P4" i="3" s="1"/>
  <c r="P5" i="3" a="1"/>
  <c r="P5" i="3" s="1"/>
  <c r="P6" i="3" a="1"/>
  <c r="P6" i="3" s="1"/>
  <c r="P7" i="3" a="1"/>
  <c r="P7" i="3" s="1"/>
  <c r="P8" i="3" a="1"/>
  <c r="P8" i="3" s="1"/>
  <c r="P9" i="3" a="1"/>
  <c r="P9" i="3" s="1"/>
  <c r="P10" i="3" a="1"/>
  <c r="P10" i="3" s="1"/>
  <c r="P11" i="3" a="1"/>
  <c r="P11" i="3" s="1"/>
  <c r="O2" i="3" a="1"/>
  <c r="O2" i="3" s="1"/>
  <c r="O3" i="3" a="1"/>
  <c r="O3" i="3" s="1"/>
  <c r="O4" i="3" a="1"/>
  <c r="O4" i="3" s="1"/>
  <c r="O5" i="3" a="1"/>
  <c r="O5" i="3" s="1"/>
  <c r="O6" i="3" a="1"/>
  <c r="O6" i="3" s="1"/>
  <c r="O7" i="3" a="1"/>
  <c r="O7" i="3" s="1"/>
  <c r="O8" i="3" a="1"/>
  <c r="O8" i="3" s="1"/>
  <c r="O9" i="3" a="1"/>
  <c r="O9" i="3" s="1"/>
  <c r="O10" i="3" a="1"/>
  <c r="O10" i="3" s="1"/>
  <c r="O11" i="3" a="1"/>
  <c r="O11" i="3" s="1"/>
  <c r="N3" i="3" a="1"/>
  <c r="N3" i="3" s="1"/>
  <c r="N4" i="3" a="1"/>
  <c r="N4" i="3" s="1"/>
  <c r="N5" i="3" a="1"/>
  <c r="N5" i="3" s="1"/>
  <c r="N6" i="3" a="1"/>
  <c r="N6" i="3" s="1"/>
  <c r="N7" i="3" a="1"/>
  <c r="N7" i="3" s="1"/>
  <c r="N8" i="3" a="1"/>
  <c r="N8" i="3" s="1"/>
  <c r="N9" i="3" a="1"/>
  <c r="N9" i="3" s="1"/>
  <c r="N10" i="3" a="1"/>
  <c r="N10" i="3" s="1"/>
  <c r="N11" i="3" a="1"/>
  <c r="N11" i="3" s="1"/>
  <c r="M3" i="3" a="1"/>
  <c r="M3" i="3" s="1"/>
  <c r="M4" i="3" a="1"/>
  <c r="M4" i="3" s="1"/>
  <c r="M5" i="3" a="1"/>
  <c r="M5" i="3" s="1"/>
  <c r="M6" i="3" a="1"/>
  <c r="M6" i="3" s="1"/>
  <c r="M7" i="3" a="1"/>
  <c r="M7" i="3" s="1"/>
  <c r="M8" i="3" a="1"/>
  <c r="M8" i="3" s="1"/>
  <c r="M9" i="3" a="1"/>
  <c r="M9" i="3" s="1"/>
  <c r="M10" i="3" a="1"/>
  <c r="M10" i="3" s="1"/>
  <c r="M11" i="3" a="1"/>
  <c r="M11" i="3" s="1"/>
  <c r="W9" i="3" l="1"/>
  <c r="X9" i="3" s="1" a="1"/>
  <c r="X9" i="3" s="1"/>
  <c r="Y9" i="3" s="1" a="1"/>
  <c r="Y9" i="3" s="1"/>
  <c r="Z9" i="3" s="1" a="1"/>
  <c r="Z9" i="3" s="1"/>
  <c r="W8" i="3"/>
  <c r="X8" i="3" s="1" a="1"/>
  <c r="X8" i="3" s="1"/>
  <c r="Y8" i="3" s="1" a="1"/>
  <c r="Y8" i="3" s="1"/>
  <c r="Z8" i="3" s="1" a="1"/>
  <c r="Z8" i="3" s="1"/>
  <c r="W7" i="3"/>
  <c r="X7" i="3" s="1" a="1"/>
  <c r="X7" i="3" s="1"/>
  <c r="Y7" i="3" s="1" a="1"/>
  <c r="Y7" i="3" s="1"/>
  <c r="Z7" i="3" s="1" a="1"/>
  <c r="Z7" i="3" s="1"/>
  <c r="W6" i="3"/>
  <c r="X6" i="3" s="1" a="1"/>
  <c r="X6" i="3" s="1"/>
  <c r="Y6" i="3" s="1" a="1"/>
  <c r="Y6" i="3" s="1"/>
  <c r="Z6" i="3" s="1" a="1"/>
  <c r="Z6" i="3" s="1"/>
  <c r="W4" i="3"/>
  <c r="X4" i="3" s="1" a="1"/>
  <c r="X4" i="3" s="1"/>
  <c r="Y4" i="3" s="1" a="1"/>
  <c r="Y4" i="3" s="1"/>
  <c r="Z4" i="3" s="1" a="1"/>
  <c r="Z4" i="3" s="1"/>
  <c r="W5" i="3"/>
  <c r="X5" i="3" s="1" a="1"/>
  <c r="X5" i="3" s="1"/>
  <c r="Y5" i="3" s="1" a="1"/>
  <c r="Y5" i="3" s="1"/>
  <c r="Z5" i="3" s="1" a="1"/>
  <c r="Z5" i="3" s="1"/>
  <c r="W11" i="3"/>
  <c r="X11" i="3" s="1" a="1"/>
  <c r="X11" i="3" s="1"/>
  <c r="Y11" i="3" s="1" a="1"/>
  <c r="Y11" i="3" s="1"/>
  <c r="Z11" i="3" s="1" a="1"/>
  <c r="Z11" i="3" s="1"/>
  <c r="W2" i="3"/>
  <c r="X2" i="3" s="1" a="1"/>
  <c r="X2" i="3" s="1"/>
  <c r="Y2" i="3" s="1" a="1"/>
  <c r="Y2" i="3" s="1"/>
  <c r="Z2" i="3" s="1" a="1"/>
  <c r="Z2" i="3" s="1"/>
  <c r="W10" i="3"/>
  <c r="X10" i="3" s="1" a="1"/>
  <c r="X10" i="3" s="1"/>
  <c r="Y10" i="3" s="1" a="1"/>
  <c r="Y10" i="3" s="1"/>
  <c r="Z10" i="3" s="1" a="1"/>
  <c r="Z10" i="3" s="1"/>
  <c r="W3" i="3"/>
  <c r="X3" i="3" s="1" a="1"/>
  <c r="X3" i="3" s="1"/>
  <c r="Y3" i="3" s="1" a="1"/>
  <c r="Y3" i="3" s="1"/>
  <c r="Z3" i="3" s="1" a="1"/>
  <c r="Z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<sst xmlns="http://schemas.openxmlformats.org/spreadsheetml/2006/main" count="242" uniqueCount="103">
  <si>
    <t>ApplicantID</t>
  </si>
  <si>
    <t>Industry</t>
  </si>
  <si>
    <t>Employees</t>
  </si>
  <si>
    <t>Business Name</t>
  </si>
  <si>
    <t>Years In Business</t>
  </si>
  <si>
    <t>Annual Revenue</t>
  </si>
  <si>
    <t>Prior Claims</t>
  </si>
  <si>
    <t>Total Losses</t>
  </si>
  <si>
    <t>Requested Limit</t>
  </si>
  <si>
    <t>Safety Program</t>
  </si>
  <si>
    <t>Prior Cancellation</t>
  </si>
  <si>
    <t>Property Condition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</si>
  <si>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</si>
  <si>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</si>
  <si>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</si>
  <si>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</si>
  <si>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</si>
  <si>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</si>
  <si>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</si>
  <si>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</si>
  <si>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</si>
  <si>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</si>
  <si>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Consumer Electronics</t>
  </si>
  <si>
    <t>E-Commerce</t>
  </si>
  <si>
    <t>Retail</t>
  </si>
  <si>
    <t>Automotive</t>
  </si>
  <si>
    <t>Olivia's Café</t>
  </si>
  <si>
    <t>Tony's Pizza</t>
  </si>
  <si>
    <t>Quick Fix Auto Repair</t>
  </si>
  <si>
    <t>Corner Street Market</t>
  </si>
  <si>
    <t>Speedy's Food Delivery</t>
  </si>
  <si>
    <t>Shop Online</t>
  </si>
  <si>
    <t>Restaurant</t>
  </si>
  <si>
    <t>Auto Repair</t>
  </si>
  <si>
    <t>Delivery</t>
  </si>
  <si>
    <t>Pear</t>
  </si>
  <si>
    <t>Fara</t>
  </si>
  <si>
    <t>Clothing</t>
  </si>
  <si>
    <t>TNT</t>
  </si>
  <si>
    <t>Taco King</t>
  </si>
  <si>
    <t>Fast Food</t>
  </si>
  <si>
    <t>No</t>
  </si>
  <si>
    <t>Partial</t>
  </si>
  <si>
    <t>Yes</t>
  </si>
  <si>
    <t>Good</t>
  </si>
  <si>
    <t>Poor</t>
  </si>
  <si>
    <t>Average</t>
  </si>
  <si>
    <t>Risk Factor</t>
  </si>
  <si>
    <t>Low Risk</t>
  </si>
  <si>
    <t>Medium Risk</t>
  </si>
  <si>
    <t>High Risk</t>
  </si>
  <si>
    <t>Years in Business</t>
  </si>
  <si>
    <t>7+ years</t>
  </si>
  <si>
    <t>3-6 years</t>
  </si>
  <si>
    <t>0-2 years</t>
  </si>
  <si>
    <t>0 claims</t>
  </si>
  <si>
    <t>1-2 claims</t>
  </si>
  <si>
    <t>$40,001+</t>
  </si>
  <si>
    <t>$0-$15,000</t>
  </si>
  <si>
    <t>$15,001-$40,000</t>
  </si>
  <si>
    <t>-</t>
  </si>
  <si>
    <t>Restaurant/Delivery/Retail</t>
  </si>
  <si>
    <t>Clothing/Automotive/Fast Food</t>
  </si>
  <si>
    <t>E-Commerce/Consumer Electronics/Auto Repair</t>
  </si>
  <si>
    <t>Low Risk Score</t>
  </si>
  <si>
    <t>Medium Risk Score</t>
  </si>
  <si>
    <t>High Risk Score</t>
  </si>
  <si>
    <t>Industry Risk Score</t>
  </si>
  <si>
    <t>Years In Business Risk Score</t>
  </si>
  <si>
    <t>$0-$400,000</t>
  </si>
  <si>
    <t>$400,001-$1,000,000</t>
  </si>
  <si>
    <t>$1,000,001+</t>
  </si>
  <si>
    <t>0-10</t>
  </si>
  <si>
    <t>11-20</t>
  </si>
  <si>
    <t>21+</t>
  </si>
  <si>
    <t>Annual Revenue Risk Score</t>
  </si>
  <si>
    <t>Employees Risk Score</t>
  </si>
  <si>
    <t>Prior Claims Risk Score</t>
  </si>
  <si>
    <t>3+ claims</t>
  </si>
  <si>
    <t>Total Losses Risk Score</t>
  </si>
  <si>
    <t>Requested Limit Risk Score</t>
  </si>
  <si>
    <t>Safety Program Risk Score</t>
  </si>
  <si>
    <t>Prior Cancellation Risk Score</t>
  </si>
  <si>
    <t>Property Condition Risk Score</t>
  </si>
  <si>
    <t>Total Risk Score</t>
  </si>
  <si>
    <t>Risk Tier</t>
  </si>
  <si>
    <t>0-20</t>
  </si>
  <si>
    <t>21-23</t>
  </si>
  <si>
    <t>24+</t>
  </si>
  <si>
    <t>Risk Tiers</t>
  </si>
  <si>
    <t>Underwriting Decision</t>
  </si>
  <si>
    <t>Underwriting Decisions</t>
  </si>
  <si>
    <t>Approve</t>
  </si>
  <si>
    <t>Refer to Senior Underwriter</t>
  </si>
  <si>
    <t>Decline</t>
  </si>
  <si>
    <t>Conditions</t>
  </si>
  <si>
    <t>Medium Risk and 8+ Years in Business</t>
  </si>
  <si>
    <t>Medium Risk and less than 8 Years in Business</t>
  </si>
  <si>
    <t>Underwritng Notes</t>
  </si>
  <si>
    <t>Row Labels</t>
  </si>
  <si>
    <t>Grand Total</t>
  </si>
  <si>
    <t>Count of Underwriting Decision</t>
  </si>
  <si>
    <t>Sum of Total 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</si>
</sst>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0" fontId="0" fillId="0" borderId="1" xfId="0" applyBorder="1"/>
    <xf numFmtId="16" fontId="0" fillId="0" borderId="0" xfId="0" quotePrefix="1" applyNumberFormat="1" applyAlignment="1">
      <alignment horizontal="right"/>
    </xf>
    <xf numFmtId="0" fontId="0" fillId="0" borderId="0" xfId="0" applyAlignment="1">
      <alignment horizontal="right"/>
    </xf>
    <xf numFmtId="6" fontId="0" fillId="0" borderId="0" xfId="0" applyNumberFormat="1"/>
    <xf numFmtId="0" fontId="0" fillId="2" borderId="0" xfId="0" applyFill="1"/>
    <xf numFmtId="0" fontId="0" fillId="0" borderId="2" xfId="0" pivotButton="1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2" xfId="0" applyBorder="1" applyAlignment="1">
      <alignment horizontal="left"/>
    </xf>
  </cellXfs>
  <cellStyles count="2">
    <cellStyle name="Currency" xfId="1" builtinId="4"/>
    <cellStyle name="Normal" xfId="0" builtinId="0"/>
  </cellStyles>
  <dxfs count="37"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ck">
          <color indexed="64"/>
        </right>
        <top/>
        <bottom/>
        <vertical/>
        <horizontal/>
      </border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[Small_Commercial_Underwriting_Project.xlsx]Pivot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Underwriting Decisions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Tables'!$A$2:$A$5</c:f>
              <c:strCache>
                <c:ptCount val="3"/>
                <c:pt idx="0">
                  <c:v>Approve</c:v>
                </c:pt>
                <c:pt idx="1">
                  <c:v>Refer to Senior Underwriter</c:v>
                </c:pt>
                <c:pt idx="2">
                  <c:v>Decline</c:v>
                </c:pt>
              </c:strCache>
            </c:strRef>
          </c:cat>
          <c:val>
            <c:numRef>
              <c:f>'Pivot Tables'!$B$2:$B$5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0-4035-BE08-8FC014B20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283664"/>
        <c:axId val="1422284144"/>
      </c:barChart>
      <c:catAx>
        <c:axId val="142228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284144"/>
        <c:crosses val="autoZero"/>
        <c:auto val="1"/>
        <c:lblAlgn val="ctr"/>
        <c:lblOffset val="100"/>
        <c:noMultiLvlLbl val="0"/>
      </c:catAx>
      <c:valAx>
        <c:axId val="14222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28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[Small_Commercial_Underwriting_Project.xlsx]Pivot Tables!PivotTable2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Score by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Tables'!$A$9:$A$19</c:f>
              <c:strCache>
                <c:ptCount val="10"/>
                <c:pt idx="0">
                  <c:v>Corner Street Market</c:v>
                </c:pt>
                <c:pt idx="1">
                  <c:v>Fara</c:v>
                </c:pt>
                <c:pt idx="2">
                  <c:v>Olivia's Café</c:v>
                </c:pt>
                <c:pt idx="3">
                  <c:v>Pear</c:v>
                </c:pt>
                <c:pt idx="4">
                  <c:v>Quick Fix Auto Repair</c:v>
                </c:pt>
                <c:pt idx="5">
                  <c:v>Shop Online</c:v>
                </c:pt>
                <c:pt idx="6">
                  <c:v>Speedy's Food Delivery</c:v>
                </c:pt>
                <c:pt idx="7">
                  <c:v>Taco King</c:v>
                </c:pt>
                <c:pt idx="8">
                  <c:v>TNT</c:v>
                </c:pt>
                <c:pt idx="9">
                  <c:v>Tony's Pizza</c:v>
                </c:pt>
              </c:strCache>
            </c:strRef>
          </c:cat>
          <c:val>
            <c:numRef>
              <c:f>'Pivot Tables'!$B$9:$B$19</c:f>
              <c:numCache>
                <c:formatCode>General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18</c:v>
                </c:pt>
                <c:pt idx="3">
                  <c:v>23</c:v>
                </c:pt>
                <c:pt idx="4">
                  <c:v>24</c:v>
                </c:pt>
                <c:pt idx="5">
                  <c:v>28</c:v>
                </c:pt>
                <c:pt idx="6">
                  <c:v>21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3-41EE-B48A-08531808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739744"/>
        <c:axId val="1102740704"/>
      </c:barChart>
      <c:catAx>
        <c:axId val="110273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740704"/>
        <c:crosses val="autoZero"/>
        <c:auto val="1"/>
        <c:lblAlgn val="ctr"/>
        <c:lblOffset val="100"/>
        <c:noMultiLvlLbl val="0"/>
      </c:catAx>
      <c:valAx>
        <c:axId val="110274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73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0</xdr:colOff>
      <xdr:row>26</xdr:row>
      <xdr:rowOff>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E4A5FAA2-F352-8AC0-2F7D-54E152A997EB}"/>
            </a:ext>
          </a:extLst>
        </xdr:cNvPr>
        <xdr:cNvSpPr/>
      </xdr:nvSpPr>
      <xdr:spPr>
        <a:xfrm>
          <a:off x="0" y="0"/>
          <a:ext cx="13487400" cy="4754880"/>
        </a:xfrm>
        <a:prstGeom prst="roundRect">
          <a:avLst>
            <a:gd name="adj" fmla="val 2564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0</xdr:colOff>
      <xdr:row>4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BB5BD67-1A56-BCBB-C7CB-8C6FFD7E95D3}"/>
            </a:ext>
          </a:extLst>
        </xdr:cNvPr>
        <xdr:cNvSpPr/>
      </xdr:nvSpPr>
      <xdr:spPr>
        <a:xfrm>
          <a:off x="0" y="0"/>
          <a:ext cx="12877800" cy="731520"/>
        </a:xfrm>
        <a:prstGeom prst="roundRect">
          <a:avLst>
            <a:gd name="adj" fmla="val 2812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>
              <a:solidFill>
                <a:schemeClr val="bg1"/>
              </a:solidFill>
            </a:rPr>
            <a:t>Small Commercial Underwriting Project</a:t>
          </a:r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BF2418E-1B8A-B2CA-9DD6-20376849D97C}"/>
            </a:ext>
          </a:extLst>
        </xdr:cNvPr>
        <xdr:cNvSpPr/>
      </xdr:nvSpPr>
      <xdr:spPr>
        <a:xfrm>
          <a:off x="0" y="914400"/>
          <a:ext cx="3048000" cy="7315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Total Applicants</a:t>
          </a:r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A069FDC-F59E-4E8C-B502-37AD77D13DEC}"/>
            </a:ext>
          </a:extLst>
        </xdr:cNvPr>
        <xdr:cNvSpPr/>
      </xdr:nvSpPr>
      <xdr:spPr>
        <a:xfrm>
          <a:off x="3276600" y="914400"/>
          <a:ext cx="3048000" cy="7315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Total</a:t>
          </a:r>
          <a:r>
            <a:rPr lang="en-US" sz="1400" baseline="0"/>
            <a:t> Approved</a:t>
          </a:r>
        </a:p>
      </xdr:txBody>
    </xdr:sp>
    <xdr:clientData/>
  </xdr:twoCellAnchor>
  <xdr:twoCellAnchor>
    <xdr:from>
      <xdr:col>12</xdr:col>
      <xdr:colOff>0</xdr:colOff>
      <xdr:row>5</xdr:row>
      <xdr:rowOff>0</xdr:rowOff>
    </xdr:from>
    <xdr:to>
      <xdr:col>17</xdr:col>
      <xdr:colOff>0</xdr:colOff>
      <xdr:row>9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1288B47-E481-404D-BBA0-CF8E013C091E}"/>
            </a:ext>
          </a:extLst>
        </xdr:cNvPr>
        <xdr:cNvSpPr/>
      </xdr:nvSpPr>
      <xdr:spPr>
        <a:xfrm>
          <a:off x="6614160" y="914400"/>
          <a:ext cx="3048000" cy="7315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Total</a:t>
          </a:r>
          <a:r>
            <a:rPr lang="en-US" sz="1400" baseline="0"/>
            <a:t> Referred to Senior Underwriter</a:t>
          </a:r>
        </a:p>
      </xdr:txBody>
    </xdr:sp>
    <xdr:clientData/>
  </xdr:twoCellAnchor>
  <xdr:twoCellAnchor>
    <xdr:from>
      <xdr:col>17</xdr:col>
      <xdr:colOff>198120</xdr:colOff>
      <xdr:row>5</xdr:row>
      <xdr:rowOff>0</xdr:rowOff>
    </xdr:from>
    <xdr:to>
      <xdr:col>23</xdr:col>
      <xdr:colOff>0</xdr:colOff>
      <xdr:row>9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5F4B642-5CB7-4D7C-B6C3-9C8B227EBD7A}"/>
            </a:ext>
          </a:extLst>
        </xdr:cNvPr>
        <xdr:cNvSpPr/>
      </xdr:nvSpPr>
      <xdr:spPr>
        <a:xfrm>
          <a:off x="9799320" y="914400"/>
          <a:ext cx="3078480" cy="7315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Total Declined</a:t>
          </a:r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4</xdr:col>
      <xdr:colOff>0</xdr:colOff>
      <xdr:row>9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7830EF4-F7D5-45E6-4575-5465CCBE7A63}"/>
            </a:ext>
          </a:extLst>
        </xdr:cNvPr>
        <xdr:cNvSpPr/>
      </xdr:nvSpPr>
      <xdr:spPr>
        <a:xfrm>
          <a:off x="609600" y="1280160"/>
          <a:ext cx="1828800" cy="36576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10</a:t>
          </a:r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10</xdr:col>
      <xdr:colOff>0</xdr:colOff>
      <xdr:row>9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B4F8E6F-84E7-4429-9D7D-C83446DA1040}"/>
            </a:ext>
          </a:extLst>
        </xdr:cNvPr>
        <xdr:cNvSpPr/>
      </xdr:nvSpPr>
      <xdr:spPr>
        <a:xfrm>
          <a:off x="3886200" y="1280160"/>
          <a:ext cx="1828800" cy="36576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4</a:t>
          </a:r>
          <a:endParaRPr lang="en-US" sz="1100"/>
        </a:p>
      </xdr:txBody>
    </xdr:sp>
    <xdr:clientData/>
  </xdr:twoCellAnchor>
  <xdr:twoCellAnchor>
    <xdr:from>
      <xdr:col>13</xdr:col>
      <xdr:colOff>0</xdr:colOff>
      <xdr:row>7</xdr:row>
      <xdr:rowOff>0</xdr:rowOff>
    </xdr:from>
    <xdr:to>
      <xdr:col>16</xdr:col>
      <xdr:colOff>0</xdr:colOff>
      <xdr:row>9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04E92A3-0A4D-451F-8B30-19B9EC3DB831}"/>
            </a:ext>
          </a:extLst>
        </xdr:cNvPr>
        <xdr:cNvSpPr/>
      </xdr:nvSpPr>
      <xdr:spPr>
        <a:xfrm>
          <a:off x="7162800" y="1280160"/>
          <a:ext cx="1828800" cy="36576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2</a:t>
          </a:r>
        </a:p>
      </xdr:txBody>
    </xdr:sp>
    <xdr:clientData/>
  </xdr:twoCellAnchor>
  <xdr:twoCellAnchor>
    <xdr:from>
      <xdr:col>19</xdr:col>
      <xdr:colOff>0</xdr:colOff>
      <xdr:row>7</xdr:row>
      <xdr:rowOff>0</xdr:rowOff>
    </xdr:from>
    <xdr:to>
      <xdr:col>22</xdr:col>
      <xdr:colOff>0</xdr:colOff>
      <xdr:row>9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F60278F-544F-41E7-929B-75DF3B0B6864}"/>
            </a:ext>
          </a:extLst>
        </xdr:cNvPr>
        <xdr:cNvSpPr/>
      </xdr:nvSpPr>
      <xdr:spPr>
        <a:xfrm>
          <a:off x="10439400" y="1280160"/>
          <a:ext cx="1828800" cy="36576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4</a:t>
          </a: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9</xdr:col>
      <xdr:colOff>76200</xdr:colOff>
      <xdr:row>25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57C2779-772C-4E53-969B-7CC73B81E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533400</xdr:colOff>
      <xdr:row>10</xdr:row>
      <xdr:rowOff>0</xdr:rowOff>
    </xdr:from>
    <xdr:to>
      <xdr:col>22</xdr:col>
      <xdr:colOff>0</xdr:colOff>
      <xdr:row>25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C3A6251-3244-46A1-BD17-ECFAE4130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y Quinones" refreshedDate="46156.678319791667" createdVersion="8" refreshedVersion="8" minRefreshableVersion="3" recordCount="10" xr:uid="{931B5A11-0C9D-4B4B-AC1B-A2167F38F65F}">
  <cacheSource type="worksheet">
    <worksheetSource name="Table14"/>
  </cacheSource>
  <cacheFields count="26">
    <cacheField name="ApplicantID" numFmtId="0">
      <sharedItems/>
    </cacheField>
    <cacheField name="Business Name" numFmtId="0">
      <sharedItems count="10">
        <s v="Olivia's Café"/>
        <s v="Speedy's Food Delivery"/>
        <s v="Fara"/>
        <s v="Corner Street Market"/>
        <s v="Tony's Pizza"/>
        <s v="Shop Online"/>
        <s v="Pear"/>
        <s v="Quick Fix Auto Repair"/>
        <s v="TNT"/>
        <s v="Taco King"/>
      </sharedItems>
    </cacheField>
    <cacheField name="Industry" numFmtId="0">
      <sharedItems/>
    </cacheField>
    <cacheField name="Years In Business" numFmtId="0">
      <sharedItems containsSemiMixedTypes="0" containsString="0" containsNumber="1" containsInteger="1" minValue="1" maxValue="10"/>
    </cacheField>
    <cacheField name="Annual Revenue" numFmtId="164">
      <sharedItems containsSemiMixedTypes="0" containsString="0" containsNumber="1" containsInteger="1" minValue="200000" maxValue="2500000"/>
    </cacheField>
    <cacheField name="Employees" numFmtId="0">
      <sharedItems containsSemiMixedTypes="0" containsString="0" containsNumber="1" containsInteger="1" minValue="3" maxValue="35"/>
    </cacheField>
    <cacheField name="Prior Claims" numFmtId="0">
      <sharedItems containsSemiMixedTypes="0" containsString="0" containsNumber="1" containsInteger="1" minValue="0" maxValue="4"/>
    </cacheField>
    <cacheField name="Total Losses" numFmtId="164">
      <sharedItems containsSemiMixedTypes="0" containsString="0" containsNumber="1" containsInteger="1" minValue="0" maxValue="80000"/>
    </cacheField>
    <cacheField name="Requested Limit" numFmtId="164">
      <sharedItems containsSemiMixedTypes="0" containsString="0" containsNumber="1" containsInteger="1" minValue="100000" maxValue="200000"/>
    </cacheField>
    <cacheField name="Safety Program" numFmtId="0">
      <sharedItems/>
    </cacheField>
    <cacheField name="Prior Cancellation" numFmtId="0">
      <sharedItems/>
    </cacheField>
    <cacheField name="Property Condition" numFmtId="0">
      <sharedItems/>
    </cacheField>
    <cacheField name="Industry Risk Score" numFmtId="0">
      <sharedItems containsSemiMixedTypes="0" containsString="0" containsNumber="1" containsInteger="1" minValue="1" maxValue="5"/>
    </cacheField>
    <cacheField name="Years In Business Risk Score" numFmtId="0">
      <sharedItems containsSemiMixedTypes="0" containsString="0" containsNumber="1" containsInteger="1" minValue="1" maxValue="5"/>
    </cacheField>
    <cacheField name="Annual Revenue Risk Score" numFmtId="0">
      <sharedItems containsSemiMixedTypes="0" containsString="0" containsNumber="1" containsInteger="1" minValue="1" maxValue="3"/>
    </cacheField>
    <cacheField name="Employees Risk Score" numFmtId="0">
      <sharedItems containsSemiMixedTypes="0" containsString="0" containsNumber="1" containsInteger="1" minValue="1" maxValue="3"/>
    </cacheField>
    <cacheField name="Prior Claims Risk Score" numFmtId="0">
      <sharedItems containsSemiMixedTypes="0" containsString="0" containsNumber="1" containsInteger="1" minValue="1" maxValue="4"/>
    </cacheField>
    <cacheField name="Total Losses Risk Score" numFmtId="0">
      <sharedItems containsSemiMixedTypes="0" containsString="0" containsNumber="1" containsInteger="1" minValue="1" maxValue="5"/>
    </cacheField>
    <cacheField name="Requested Limit Risk Score" numFmtId="0">
      <sharedItems containsSemiMixedTypes="0" containsString="0" containsNumber="1" containsInteger="1" minValue="1" maxValue="3"/>
    </cacheField>
    <cacheField name="Safety Program Risk Score" numFmtId="0">
      <sharedItems containsSemiMixedTypes="0" containsString="0" containsNumber="1" containsInteger="1" minValue="1" maxValue="3"/>
    </cacheField>
    <cacheField name="Prior Cancellation Risk Score" numFmtId="0">
      <sharedItems containsSemiMixedTypes="0" containsString="0" containsNumber="1" containsInteger="1" minValue="1" maxValue="2"/>
    </cacheField>
    <cacheField name="Property Condition Risk Score" numFmtId="0">
      <sharedItems containsSemiMixedTypes="0" containsString="0" containsNumber="1" containsInteger="1" minValue="1" maxValue="4"/>
    </cacheField>
    <cacheField name="Total Risk Score" numFmtId="0">
      <sharedItems containsSemiMixedTypes="0" containsString="0" containsNumber="1" containsInteger="1" minValue="18" maxValue="28"/>
    </cacheField>
    <cacheField name="Risk Tier" numFmtId="0">
      <sharedItems/>
    </cacheField>
    <cacheField name="Underwriting Decision" numFmtId="0">
      <sharedItems count="3">
        <s v="Approve"/>
        <s v="Refer to Senior Underwriter"/>
        <s v="Decline"/>
      </sharedItems>
    </cacheField>
    <cacheField name="Underwritng 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A01"/>
    <x v="0"/>
    <s v="Restaurant"/>
    <n v="1"/>
    <n v="300000"/>
    <n v="5"/>
    <n v="0"/>
    <n v="0"/>
    <n v="100000"/>
    <s v="No"/>
    <s v="No"/>
    <s v="Good"/>
    <n v="3"/>
    <n v="5"/>
    <n v="1"/>
    <n v="1"/>
    <n v="1"/>
    <n v="1"/>
    <n v="1"/>
    <n v="3"/>
    <n v="1"/>
    <n v="1"/>
    <n v="18"/>
    <s v="Low Risk"/>
    <x v="0"/>
    <s v="Acceptable risk based on overall risk factors"/>
  </r>
  <r>
    <s v="A02"/>
    <x v="1"/>
    <s v="Delivery"/>
    <n v="5"/>
    <n v="450000"/>
    <n v="7"/>
    <n v="2"/>
    <n v="15000"/>
    <n v="100000"/>
    <s v="Partial"/>
    <s v="Yes"/>
    <s v="Poor"/>
    <n v="3"/>
    <n v="3"/>
    <n v="2"/>
    <n v="1"/>
    <n v="2"/>
    <n v="1"/>
    <n v="1"/>
    <n v="2"/>
    <n v="2"/>
    <n v="4"/>
    <n v="21"/>
    <s v="Medium Risk"/>
    <x v="1"/>
    <s v="Risk level is close to approval threshold. Senior Underwriter needs to approve this."/>
  </r>
  <r>
    <s v="A03"/>
    <x v="2"/>
    <s v="Clothing"/>
    <n v="6"/>
    <n v="800000"/>
    <n v="15"/>
    <n v="3"/>
    <n v="35000"/>
    <n v="100000"/>
    <s v="Partial"/>
    <s v="Yes"/>
    <s v="Average"/>
    <n v="1"/>
    <n v="3"/>
    <n v="2"/>
    <n v="2"/>
    <n v="4"/>
    <n v="2"/>
    <n v="1"/>
    <n v="2"/>
    <n v="2"/>
    <n v="2"/>
    <n v="21"/>
    <s v="Medium Risk"/>
    <x v="1"/>
    <s v="Risk level is close to approval threshold. Senior Underwriter needs to approve this."/>
  </r>
  <r>
    <s v="A04"/>
    <x v="3"/>
    <s v="Retail"/>
    <n v="3"/>
    <n v="200000"/>
    <n v="3"/>
    <n v="1"/>
    <n v="8000"/>
    <n v="100000"/>
    <s v="No"/>
    <s v="No"/>
    <s v="Poor"/>
    <n v="3"/>
    <n v="3"/>
    <n v="1"/>
    <n v="1"/>
    <n v="2"/>
    <n v="1"/>
    <n v="1"/>
    <n v="3"/>
    <n v="1"/>
    <n v="4"/>
    <n v="20"/>
    <s v="Low Risk"/>
    <x v="0"/>
    <s v="Acceptable risk based on overall risk factors"/>
  </r>
  <r>
    <s v="A05"/>
    <x v="4"/>
    <s v="Restaurant"/>
    <n v="4"/>
    <n v="350000"/>
    <n v="5"/>
    <n v="3"/>
    <n v="45000"/>
    <n v="100000"/>
    <s v="No"/>
    <s v="Yes"/>
    <s v="Good"/>
    <n v="3"/>
    <n v="3"/>
    <n v="1"/>
    <n v="1"/>
    <n v="4"/>
    <n v="5"/>
    <n v="1"/>
    <n v="3"/>
    <n v="2"/>
    <n v="1"/>
    <n v="24"/>
    <s v="High Risk"/>
    <x v="2"/>
    <s v="Risk level is too high based on risk factors"/>
  </r>
  <r>
    <s v="A06"/>
    <x v="5"/>
    <s v="E-Commerce"/>
    <n v="8"/>
    <n v="1200000"/>
    <n v="25"/>
    <n v="4"/>
    <n v="80000"/>
    <n v="200000"/>
    <s v="Yes"/>
    <s v="No"/>
    <s v="Average"/>
    <n v="5"/>
    <n v="1"/>
    <n v="3"/>
    <n v="3"/>
    <n v="4"/>
    <n v="5"/>
    <n v="3"/>
    <n v="1"/>
    <n v="1"/>
    <n v="2"/>
    <n v="28"/>
    <s v="High Risk"/>
    <x v="2"/>
    <s v="Risk level is too high based on risk factors"/>
  </r>
  <r>
    <s v="A07"/>
    <x v="6"/>
    <s v="Consumer Electronics"/>
    <n v="10"/>
    <n v="1500000"/>
    <n v="28"/>
    <n v="1"/>
    <n v="7000"/>
    <n v="200000"/>
    <s v="Yes"/>
    <s v="Yes"/>
    <s v="Average"/>
    <n v="5"/>
    <n v="1"/>
    <n v="3"/>
    <n v="3"/>
    <n v="2"/>
    <n v="1"/>
    <n v="3"/>
    <n v="1"/>
    <n v="2"/>
    <n v="2"/>
    <n v="23"/>
    <s v="Medium Risk"/>
    <x v="0"/>
    <s v="Acceptable risk based on overall risk factors"/>
  </r>
  <r>
    <s v="A08"/>
    <x v="7"/>
    <s v="Auto Repair"/>
    <n v="2"/>
    <n v="450000"/>
    <n v="8"/>
    <n v="2"/>
    <n v="25000"/>
    <n v="100000"/>
    <s v="No"/>
    <s v="Yes"/>
    <s v="Good"/>
    <n v="5"/>
    <n v="5"/>
    <n v="2"/>
    <n v="1"/>
    <n v="2"/>
    <n v="2"/>
    <n v="1"/>
    <n v="3"/>
    <n v="2"/>
    <n v="1"/>
    <n v="24"/>
    <s v="High Risk"/>
    <x v="2"/>
    <s v="Risk level is too high based on risk factors"/>
  </r>
  <r>
    <s v="A09"/>
    <x v="8"/>
    <s v="Automotive"/>
    <n v="7"/>
    <n v="2500000"/>
    <n v="35"/>
    <n v="3"/>
    <n v="45000"/>
    <n v="200000"/>
    <s v="Yes"/>
    <s v="No"/>
    <s v="Average"/>
    <n v="1"/>
    <n v="1"/>
    <n v="3"/>
    <n v="3"/>
    <n v="4"/>
    <n v="5"/>
    <n v="3"/>
    <n v="1"/>
    <n v="1"/>
    <n v="2"/>
    <n v="24"/>
    <s v="High Risk"/>
    <x v="2"/>
    <s v="Risk level is too high based on risk factors"/>
  </r>
  <r>
    <s v="A10"/>
    <x v="9"/>
    <s v="Fast Food"/>
    <n v="9"/>
    <n v="950000"/>
    <n v="12"/>
    <n v="2"/>
    <n v="12000"/>
    <n v="200000"/>
    <s v="Partial"/>
    <s v="Yes"/>
    <s v="Poor"/>
    <n v="1"/>
    <n v="1"/>
    <n v="2"/>
    <n v="2"/>
    <n v="2"/>
    <n v="1"/>
    <n v="3"/>
    <n v="2"/>
    <n v="2"/>
    <n v="4"/>
    <n v="20"/>
    <s v="Low Risk"/>
    <x v="0"/>
    <s v="Acceptable risk based on overall risk facto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D6FAC-7C34-4243-8F18-2234AE8A517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8:B19" firstHeaderRow="1" firstDataRow="1" firstDataCol="1"/>
  <pivotFields count="26">
    <pivotField showAll="0"/>
    <pivotField axis="axisRow" showAll="0">
      <items count="11">
        <item x="3"/>
        <item x="2"/>
        <item x="0"/>
        <item x="6"/>
        <item x="7"/>
        <item x="5"/>
        <item x="1"/>
        <item x="9"/>
        <item x="8"/>
        <item x="4"/>
        <item t="default"/>
      </items>
    </pivotField>
    <pivotField showAll="0"/>
    <pivotField showAll="0"/>
    <pivotField numFmtId="164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4">
        <item x="0"/>
        <item x="1"/>
        <item x="2"/>
        <item t="default"/>
      </items>
    </pivotField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Risk Score" fld="22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46DA9-C306-4515-8C14-F6F1680AD5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5" firstHeaderRow="1" firstDataRow="1" firstDataCol="1"/>
  <pivotFields count="26"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nderwriting Decision" fld="24" subtotal="count" baseField="0" baseItem="0"/>
  </dataFields>
  <formats count="8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4" type="button" dataOnly="0" labelOnly="1" outline="0" axis="axisRow" fieldPosition="0"/>
    </format>
    <format dxfId="12">
      <pivotArea dataOnly="0" labelOnly="1" fieldPosition="0">
        <references count="1">
          <reference field="24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24" count="0"/>
        </references>
      </pivotArea>
    </format>
    <format dxfId="8">
      <pivotArea dataOnly="0" labelOnly="1" fieldPosition="0">
        <references count="1">
          <reference field="24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EF7C6-C345-47F1-9F37-24129FC8E0E4}" name="Table1" displayName="Table1" ref="A1:L11" totalsRowShown="0">
  <autoFilter ref="A1:L11" xr:uid="{C93EF7C6-C345-47F1-9F37-24129FC8E0E4}"/>
  <tableColumns count="12">
    <tableColumn id="1" xr3:uid="{058D2F8B-F9A7-4657-A5A1-BFBFCA948233}" name="ApplicantID"/>
    <tableColumn id="2" xr3:uid="{EF778D11-2D11-458A-A2B7-047191849BDB}" name="Business Name"/>
    <tableColumn id="3" xr3:uid="{5C3E8427-0A27-47B5-BC22-A14B1CE11657}" name="Industry"/>
    <tableColumn id="4" xr3:uid="{52995FC3-2ACF-4D17-8A13-6F8DC2EED013}" name="Years In Business"/>
    <tableColumn id="5" xr3:uid="{B4ECF0EE-4685-44D6-9A0D-7C69C17218DA}" name="Annual Revenue" dataDxfId="36"/>
    <tableColumn id="6" xr3:uid="{405C7CAF-37CF-4F2E-820A-40CD21491EB9}" name="Employees"/>
    <tableColumn id="7" xr3:uid="{91DA8DC3-833D-4484-9F48-85CAA80B5F7E}" name="Prior Claims"/>
    <tableColumn id="8" xr3:uid="{07CFF2C0-A9F3-4EB7-9277-4C2FF2E99278}" name="Total Losses" dataDxfId="35"/>
    <tableColumn id="9" xr3:uid="{8686D122-D789-4374-9570-FDE76236363D}" name="Requested Limit" dataDxfId="34" dataCellStyle="Currency"/>
    <tableColumn id="10" xr3:uid="{8261EC41-6619-41BD-B251-9F904D48C720}" name="Safety Program"/>
    <tableColumn id="11" xr3:uid="{30286BC8-3F40-4684-AA8B-9BB6D2F3F373}" name="Prior Cancellation"/>
    <tableColumn id="12" xr3:uid="{EF265A1C-A861-438B-8B34-B64C20827CDD}" name="Property Cond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787194-C143-4AB4-B88B-ADAED9716F44}" name="Table2" displayName="Table2" ref="A1:G11" totalsRowShown="0">
  <autoFilter ref="A1:G11" xr:uid="{40787194-C143-4AB4-B88B-ADAED9716F44}"/>
  <tableColumns count="7">
    <tableColumn id="1" xr3:uid="{61CDCE55-EDD2-40FE-AD85-932975B0BBED}" name="Risk Factor"/>
    <tableColumn id="2" xr3:uid="{F8552913-157E-4A1F-8C1F-5DF4BAA9026A}" name="Low Risk"/>
    <tableColumn id="6" xr3:uid="{4D1DD24F-F77B-421E-A54A-2704AAAB4DFE}" name="Low Risk Score"/>
    <tableColumn id="3" xr3:uid="{987061C3-52DE-4D39-9DDF-1197435C393E}" name="Medium Risk"/>
    <tableColumn id="7" xr3:uid="{7DF71C34-50CA-48A1-9DDF-DDC084F376EA}" name="Medium Risk Score"/>
    <tableColumn id="4" xr3:uid="{8039885D-B825-4826-BB14-4C82800C1ED5}" name="High Risk"/>
    <tableColumn id="8" xr3:uid="{C8A4722D-9963-4E58-950F-05D49D76CD1C}" name="High Risk 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751064-FB9E-4980-96F7-22C655055FAF}" name="Table6" displayName="Table6" ref="A14:B17" totalsRowShown="0">
  <autoFilter ref="A14:B17" xr:uid="{A3751064-FB9E-4980-96F7-22C655055FAF}"/>
  <tableColumns count="2">
    <tableColumn id="1" xr3:uid="{FF2165B9-68DC-4704-85A4-6BF4274D7052}" name="Risk Tiers"/>
    <tableColumn id="2" xr3:uid="{C85C4CA1-5B61-4801-9F67-B88125B47691}" name="Total Risk Sco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694491-5217-4DB6-AF90-B65FB6C4F570}" name="Table7" displayName="Table7" ref="A20:B24" totalsRowShown="0">
  <autoFilter ref="A20:B24" xr:uid="{2B694491-5217-4DB6-AF90-B65FB6C4F570}"/>
  <tableColumns count="2">
    <tableColumn id="2" xr3:uid="{7FC5B0DB-9184-4387-9815-AAE0CAF31BC6}" name="Conditions"/>
    <tableColumn id="3" xr3:uid="{91F210A6-3B14-4813-B641-4503AEEC525B}" name="Underwriting Decis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725F3B-6869-474F-B68B-6BD39BA70E2D}" name="Table14" displayName="Table14" ref="A1:Z11" totalsRowShown="0">
  <autoFilter ref="A1:Z11" xr:uid="{1A725F3B-6869-474F-B68B-6BD39BA70E2D}"/>
  <tableColumns count="26">
    <tableColumn id="1" xr3:uid="{B87EB616-A64C-4899-9A22-CABC091C7C26}" name="ApplicantID"/>
    <tableColumn id="2" xr3:uid="{8D06ACB1-EC43-4F08-9186-1C37766B7835}" name="Business Name"/>
    <tableColumn id="3" xr3:uid="{14B7F931-879D-4C25-BAEE-C95EB1F9E1E2}" name="Industry"/>
    <tableColumn id="4" xr3:uid="{6AD3BDF3-A813-449D-8E20-45C4F01922C3}" name="Years In Business"/>
    <tableColumn id="5" xr3:uid="{AF1532C8-29A2-4BEB-8592-16A5A884816D}" name="Annual Revenue" dataDxfId="33"/>
    <tableColumn id="6" xr3:uid="{970DBAA5-0CD3-4BE9-B70A-37686BD41B84}" name="Employees"/>
    <tableColumn id="7" xr3:uid="{3880B374-6D3A-4BDC-8397-D389F9B5DFC9}" name="Prior Claims"/>
    <tableColumn id="8" xr3:uid="{EA0F5C5D-E964-4483-946C-B00773593FD4}" name="Total Losses" dataDxfId="32"/>
    <tableColumn id="9" xr3:uid="{0BA44876-93AA-4D46-A692-E236C89467A6}" name="Requested Limit" dataDxfId="31" dataCellStyle="Currency"/>
    <tableColumn id="10" xr3:uid="{E4E7FBD6-21E1-4F3F-BC35-C5F04EACD9B9}" name="Safety Program"/>
    <tableColumn id="11" xr3:uid="{83FD16C8-005B-48ED-956A-AF6B5320DA6B}" name="Prior Cancellation"/>
    <tableColumn id="12" xr3:uid="{EA342F68-C024-4CC6-8632-8C57FFF1CE25}" name="Property Condition" dataDxfId="30"/>
    <tableColumn id="14" xr3:uid="{1623113A-84CC-46E7-9940-4F7AC888438E}" name="Industry Risk Score" dataDxfId="29">
      <calculatedColumnFormula array="1">_xlfn.IFS(OR(Table14[[#This Row],[Industry]]="Automotive",Table14[[#This Row],[Industry]]="Clothing",Table14[[#This Row],[Industry]]="Fast Food"),Guidelines!$C$8,OR(Table14[[#This Row],[Industry]]="Restaurant",Table14[[#This Row],[Industry]]="Retail",Table14[[#This Row],[Industry]]="Delivery"),Guidelines!$E$8,OR(Table14[[#This Row],[Industry]]="Consumer Electronics",Table14[[#This Row],[Industry]]="Auto Repair",Table14[[#This Row],[Industry]]="E-Commerce"),Guidelines!$G$8)</calculatedColumnFormula>
    </tableColumn>
    <tableColumn id="15" xr3:uid="{801A7F62-0619-4702-8927-19EAA5DBF72E}" name="Years In Business Risk Score" dataDxfId="28">
      <calculatedColumnFormula array="1">_xlfn.IFS(Table14[[#This Row],[Years In Business]]&lt;=2,Guidelines!$G$2,Table14[[#This Row],[Years In Business]]&lt;=6,Guidelines!$E$2,Table14[[#This Row],[Years In Business]]&gt;=7,Guidelines!$C$2)</calculatedColumnFormula>
    </tableColumn>
    <tableColumn id="16" xr3:uid="{9687309A-04C8-4D82-8887-432C2AEAB6F7}" name="Annual Revenue Risk Score" dataDxfId="27">
      <calculatedColumnFormula array="1">_xlfn.IFS(Table14[[#This Row],[Annual Revenue]]&lt;=400000,Guidelines!$C$9,Table14[[#This Row],[Annual Revenue]]&lt;=1000000,Guidelines!$E$9,Table14[[#This Row],[Annual Revenue]]&gt;=1000001,Guidelines!$G$9)</calculatedColumnFormula>
    </tableColumn>
    <tableColumn id="17" xr3:uid="{04541E73-E055-435F-8447-9C8657AEB310}" name="Employees Risk Score" dataDxfId="26">
      <calculatedColumnFormula array="1">_xlfn.IFS(Table14[[#This Row],[Employees]]&lt;=10,Guidelines!$C$10,Table14[[#This Row],[Employees]]&lt;=20,Guidelines!$E$10,Table14[[#This Row],[Employees]]&gt;=21,Guidelines!$G$10)</calculatedColumnFormula>
    </tableColumn>
    <tableColumn id="18" xr3:uid="{19D5B9FD-6C17-4F71-AE25-E616CBD018BD}" name="Prior Claims Risk Score" dataDxfId="25">
      <calculatedColumnFormula array="1">_xlfn.IFS(Table14[[#This Row],[Prior Claims]]=0,Guidelines!$C$3,Table14[[#This Row],[Prior Claims]]&lt;=2,Guidelines!$E$3,Table14[[#This Row],[Prior Claims]]&gt;=3,Guidelines!$G$3)</calculatedColumnFormula>
    </tableColumn>
    <tableColumn id="19" xr3:uid="{F65E04E4-BD22-4E50-8225-80F0F8153BCF}" name="Total Losses Risk Score" dataDxfId="24">
      <calculatedColumnFormula array="1">_xlfn.IFS(Table14[[#This Row],[Total Losses]]&lt;=15000,Guidelines!$C$4,Table14[[#This Row],[Total Losses]]&lt;=40000,Guidelines!$E$4,Table14[[#This Row],[Total Losses]]&gt;=40001,Guidelines!$G$4)</calculatedColumnFormula>
    </tableColumn>
    <tableColumn id="20" xr3:uid="{084E78BA-2E49-4A91-8980-46E2311F84D0}" name="Requested Limit Risk Score" dataDxfId="23">
      <calculatedColumnFormula array="1">_xlfn.IFS(Table14[[#This Row],[Requested Limit]]=100000,Guidelines!$C$11,Table14[[#This Row],[Requested Limit]]=200000,Guidelines!$G$11)</calculatedColumnFormula>
    </tableColumn>
    <tableColumn id="21" xr3:uid="{6AAFE27C-441C-485F-96E4-217800F2D2D1}" name="Safety Program Risk Score" dataDxfId="22">
      <calculatedColumnFormula array="1">_xlfn.IFS(Table14[[#This Row],[Safety Program]]="Yes",Guidelines!$C$5,Table14[[#This Row],[Safety Program]]="Partial",Guidelines!$E$5,Table14[[#This Row],[Safety Program]]="No",Guidelines!$G$5)</calculatedColumnFormula>
    </tableColumn>
    <tableColumn id="22" xr3:uid="{B40B4F0F-2EE4-4B4F-8510-9420D9F15A83}" name="Prior Cancellation Risk Score" dataDxfId="21">
      <calculatedColumnFormula array="1">_xlfn.IFS(Table14[[#This Row],[Prior Cancellation]]="No",Guidelines!$C$6,Table14[[#This Row],[Prior Cancellation]]="Yes",Guidelines!$G$6)</calculatedColumnFormula>
    </tableColumn>
    <tableColumn id="23" xr3:uid="{1FE82831-EDF7-495F-BFFF-50E0BB61BABD}" name="Property Condition Risk Score" dataDxfId="20">
      <calculatedColumnFormula array="1">_xlfn.IFS(Table14[[#This Row],[Property Condition]]="Good",Guidelines!$C$7,Table14[[#This Row],[Property Condition]]="Average",Guidelines!$E$7,Table14[[#This Row],[Property Condition]]="Poor",Guidelines!$G$7)</calculatedColumnFormula>
    </tableColumn>
    <tableColumn id="24" xr3:uid="{F2167558-09E4-4216-A1C3-1AAF1D1DFD70}" name="Total Risk Score" dataDxfId="19">
      <calculatedColumnFormula>SUM(Table14[[#This Row],[Industry Risk Score]:[Property Condition Risk Score]])</calculatedColumnFormula>
    </tableColumn>
    <tableColumn id="25" xr3:uid="{272D959E-9045-46B4-A08C-D8E197E7C9B5}" name="Risk Tier" dataDxfId="18">
      <calculatedColumnFormula array="1">_xlfn.IFS(Table14[[#This Row],[Total Risk Score]]&lt;=20,"Low Risk",Table14[[#This Row],[Total Risk Score]]&lt;=23,"Medium Risk",Table14[[#This Row],[Total Risk Score]]&gt;=24,"High Risk")</calculatedColumnFormula>
    </tableColumn>
    <tableColumn id="26" xr3:uid="{CC76DAC3-D4E9-45C7-AC2E-4B89EDB52884}" name="Underwriting Decision" dataDxfId="17">
      <calculatedColumnFormula array="1">_xlfn.IFS(Table14[[#This Row],[Risk Tier]]="Low Risk", "Approve",AND(Table14[[#This Row],[Risk Tier]]="Medium Risk",Table14[[#This Row],[Years In Business]]&gt;=8),"Approve",AND(Table14[[#This Row],[Risk Tier]]="Medium Risk",Table14[[#This Row],[Years In Business]]&lt;=7),"Refer to Senior Underwriter",Table14[[#This Row],[Risk Tier]]="High Risk","Decline")</calculatedColumnFormula>
    </tableColumn>
    <tableColumn id="27" xr3:uid="{BB9FBCE7-C59C-4C4C-ACAC-0A5F438A15A6}" name="Underwritng Notes" dataDxfId="16">
      <calculatedColumnFormula array="1">_xlfn.IFS(Table14[[#This Row],[Underwriting Decision]]="Approve","Acceptable risk based on overall risk factors",Table14[[#This Row],[Underwriting Decision]]="Refer to Senior Underwriter","Risk level is close to approval threshold. Senior Underwriter needs to approve this.",Table14[[#This Row],[Underwriting Decision]]="Decline", "Risk level is too high based on risk factors")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68E0-0EA5-4CA0-8AE3-146132BF57B1}">
  <dimension ref="A1"/>
  <sheetViews>
    <sheetView showGridLines="0" tabSelected="1" workbookViewId="0">
      <selection activeCell="Y4" sqref="Y4"/>
    </sheetView>
  </sheetViews>
  <sheetFormatPr defaultRowHeight="14.4" x14ac:dyDescent="0.3"/>
  <cols>
    <col min="1" max="5" width="8.88671875" style="7"/>
    <col min="6" max="6" width="3.33203125" style="7" customWidth="1"/>
    <col min="7" max="10" width="8.88671875" style="7"/>
    <col min="11" max="11" width="8.88671875" style="7" customWidth="1"/>
    <col min="12" max="12" width="3.33203125" style="7" customWidth="1"/>
    <col min="13" max="17" width="8.88671875" style="7"/>
    <col min="18" max="18" width="3.33203125" style="7" customWidth="1"/>
    <col min="19" max="16384" width="8.88671875" style="7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1BB4-C101-4777-B451-83287C7F7241}">
  <dimension ref="A1:L11"/>
  <sheetViews>
    <sheetView workbookViewId="0">
      <selection activeCell="L2" sqref="L2"/>
    </sheetView>
  </sheetViews>
  <sheetFormatPr defaultRowHeight="14.4" x14ac:dyDescent="0.3"/>
  <cols>
    <col min="1" max="1" width="13.109375" bestFit="1" customWidth="1"/>
    <col min="2" max="2" width="19.21875" bestFit="1" customWidth="1"/>
    <col min="3" max="3" width="18.88671875" bestFit="1" customWidth="1"/>
    <col min="4" max="4" width="17.44140625" bestFit="1" customWidth="1"/>
    <col min="5" max="5" width="16.33203125" bestFit="1" customWidth="1"/>
    <col min="6" max="6" width="12.33203125" bestFit="1" customWidth="1"/>
    <col min="7" max="7" width="13.44140625" bestFit="1" customWidth="1"/>
    <col min="8" max="8" width="13.21875" bestFit="1" customWidth="1"/>
    <col min="9" max="9" width="16.88671875" bestFit="1" customWidth="1"/>
    <col min="10" max="10" width="15.88671875" bestFit="1" customWidth="1"/>
    <col min="11" max="11" width="18.21875" bestFit="1" customWidth="1"/>
    <col min="12" max="12" width="18.88671875" bestFit="1" customWidth="1"/>
    <col min="13" max="13" width="12" bestFit="1" customWidth="1"/>
  </cols>
  <sheetData>
    <row r="1" spans="1:12" x14ac:dyDescent="0.3">
      <c r="A1" t="s">
        <v>0</v>
      </c>
      <c r="B1" t="s">
        <v>3</v>
      </c>
      <c r="C1" t="s">
        <v>1</v>
      </c>
      <c r="D1" t="s">
        <v>4</v>
      </c>
      <c r="E1" t="s">
        <v>5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26</v>
      </c>
      <c r="C2" t="s">
        <v>32</v>
      </c>
      <c r="D2">
        <v>1</v>
      </c>
      <c r="E2" s="1">
        <v>300000</v>
      </c>
      <c r="F2">
        <v>5</v>
      </c>
      <c r="G2">
        <v>0</v>
      </c>
      <c r="H2" s="1">
        <v>0</v>
      </c>
      <c r="I2" s="2">
        <v>100000</v>
      </c>
      <c r="J2" t="s">
        <v>41</v>
      </c>
      <c r="K2" t="s">
        <v>41</v>
      </c>
      <c r="L2" t="s">
        <v>44</v>
      </c>
    </row>
    <row r="3" spans="1:12" x14ac:dyDescent="0.3">
      <c r="A3" t="s">
        <v>13</v>
      </c>
      <c r="B3" t="s">
        <v>30</v>
      </c>
      <c r="C3" t="s">
        <v>34</v>
      </c>
      <c r="D3">
        <v>5</v>
      </c>
      <c r="E3" s="1">
        <v>450000</v>
      </c>
      <c r="F3">
        <v>7</v>
      </c>
      <c r="G3">
        <v>2</v>
      </c>
      <c r="H3" s="1">
        <v>15000</v>
      </c>
      <c r="I3" s="2">
        <v>100000</v>
      </c>
      <c r="J3" t="s">
        <v>42</v>
      </c>
      <c r="K3" t="s">
        <v>43</v>
      </c>
      <c r="L3" t="s">
        <v>45</v>
      </c>
    </row>
    <row r="4" spans="1:12" x14ac:dyDescent="0.3">
      <c r="A4" t="s">
        <v>14</v>
      </c>
      <c r="B4" t="s">
        <v>36</v>
      </c>
      <c r="C4" t="s">
        <v>37</v>
      </c>
      <c r="D4">
        <v>6</v>
      </c>
      <c r="E4" s="1">
        <v>800000</v>
      </c>
      <c r="F4">
        <v>15</v>
      </c>
      <c r="G4">
        <v>3</v>
      </c>
      <c r="H4" s="1">
        <v>35000</v>
      </c>
      <c r="I4" s="2">
        <v>100000</v>
      </c>
      <c r="J4" t="s">
        <v>42</v>
      </c>
      <c r="K4" t="s">
        <v>43</v>
      </c>
      <c r="L4" t="s">
        <v>46</v>
      </c>
    </row>
    <row r="5" spans="1:12" x14ac:dyDescent="0.3">
      <c r="A5" t="s">
        <v>15</v>
      </c>
      <c r="B5" t="s">
        <v>29</v>
      </c>
      <c r="C5" t="s">
        <v>24</v>
      </c>
      <c r="D5">
        <v>3</v>
      </c>
      <c r="E5" s="1">
        <v>200000</v>
      </c>
      <c r="F5">
        <v>3</v>
      </c>
      <c r="G5">
        <v>1</v>
      </c>
      <c r="H5" s="1">
        <v>8000</v>
      </c>
      <c r="I5" s="2">
        <v>100000</v>
      </c>
      <c r="J5" t="s">
        <v>41</v>
      </c>
      <c r="K5" t="s">
        <v>41</v>
      </c>
      <c r="L5" t="s">
        <v>45</v>
      </c>
    </row>
    <row r="6" spans="1:12" x14ac:dyDescent="0.3">
      <c r="A6" t="s">
        <v>16</v>
      </c>
      <c r="B6" t="s">
        <v>27</v>
      </c>
      <c r="C6" t="s">
        <v>32</v>
      </c>
      <c r="D6">
        <v>4</v>
      </c>
      <c r="E6" s="1">
        <v>350000</v>
      </c>
      <c r="F6">
        <v>5</v>
      </c>
      <c r="G6">
        <v>3</v>
      </c>
      <c r="H6" s="1">
        <v>45000</v>
      </c>
      <c r="I6" s="2">
        <v>100000</v>
      </c>
      <c r="J6" t="s">
        <v>41</v>
      </c>
      <c r="K6" t="s">
        <v>43</v>
      </c>
      <c r="L6" t="s">
        <v>44</v>
      </c>
    </row>
    <row r="7" spans="1:12" x14ac:dyDescent="0.3">
      <c r="A7" t="s">
        <v>17</v>
      </c>
      <c r="B7" t="s">
        <v>31</v>
      </c>
      <c r="C7" t="s">
        <v>23</v>
      </c>
      <c r="D7">
        <v>8</v>
      </c>
      <c r="E7" s="1">
        <v>1200000</v>
      </c>
      <c r="F7">
        <v>25</v>
      </c>
      <c r="G7">
        <v>4</v>
      </c>
      <c r="H7" s="1">
        <v>80000</v>
      </c>
      <c r="I7" s="2">
        <v>200000</v>
      </c>
      <c r="J7" t="s">
        <v>43</v>
      </c>
      <c r="K7" t="s">
        <v>41</v>
      </c>
      <c r="L7" t="s">
        <v>46</v>
      </c>
    </row>
    <row r="8" spans="1:12" x14ac:dyDescent="0.3">
      <c r="A8" t="s">
        <v>18</v>
      </c>
      <c r="B8" t="s">
        <v>35</v>
      </c>
      <c r="C8" t="s">
        <v>22</v>
      </c>
      <c r="D8">
        <v>10</v>
      </c>
      <c r="E8" s="1">
        <v>1500000</v>
      </c>
      <c r="F8">
        <v>28</v>
      </c>
      <c r="G8">
        <v>1</v>
      </c>
      <c r="H8" s="1">
        <v>7000</v>
      </c>
      <c r="I8" s="2">
        <v>200000</v>
      </c>
      <c r="J8" t="s">
        <v>43</v>
      </c>
      <c r="K8" t="s">
        <v>43</v>
      </c>
      <c r="L8" t="s">
        <v>46</v>
      </c>
    </row>
    <row r="9" spans="1:12" x14ac:dyDescent="0.3">
      <c r="A9" t="s">
        <v>19</v>
      </c>
      <c r="B9" t="s">
        <v>28</v>
      </c>
      <c r="C9" t="s">
        <v>33</v>
      </c>
      <c r="D9">
        <v>2</v>
      </c>
      <c r="E9" s="1">
        <v>450000</v>
      </c>
      <c r="F9">
        <v>8</v>
      </c>
      <c r="G9">
        <v>2</v>
      </c>
      <c r="H9" s="1">
        <v>25000</v>
      </c>
      <c r="I9" s="2">
        <v>100000</v>
      </c>
      <c r="J9" t="s">
        <v>41</v>
      </c>
      <c r="K9" t="s">
        <v>43</v>
      </c>
      <c r="L9" t="s">
        <v>44</v>
      </c>
    </row>
    <row r="10" spans="1:12" x14ac:dyDescent="0.3">
      <c r="A10" t="s">
        <v>20</v>
      </c>
      <c r="B10" t="s">
        <v>38</v>
      </c>
      <c r="C10" t="s">
        <v>25</v>
      </c>
      <c r="D10">
        <v>7</v>
      </c>
      <c r="E10" s="1">
        <v>2500000</v>
      </c>
      <c r="F10">
        <v>35</v>
      </c>
      <c r="G10">
        <v>3</v>
      </c>
      <c r="H10" s="1">
        <v>45000</v>
      </c>
      <c r="I10" s="2">
        <v>200000</v>
      </c>
      <c r="J10" t="s">
        <v>43</v>
      </c>
      <c r="K10" t="s">
        <v>41</v>
      </c>
      <c r="L10" t="s">
        <v>46</v>
      </c>
    </row>
    <row r="11" spans="1:12" x14ac:dyDescent="0.3">
      <c r="A11" t="s">
        <v>21</v>
      </c>
      <c r="B11" t="s">
        <v>39</v>
      </c>
      <c r="C11" t="s">
        <v>40</v>
      </c>
      <c r="D11">
        <v>9</v>
      </c>
      <c r="E11" s="1">
        <v>950000</v>
      </c>
      <c r="F11">
        <v>12</v>
      </c>
      <c r="G11">
        <v>2</v>
      </c>
      <c r="H11" s="1">
        <v>12000</v>
      </c>
      <c r="I11" s="2">
        <v>200000</v>
      </c>
      <c r="J11" t="s">
        <v>42</v>
      </c>
      <c r="K11" t="s">
        <v>43</v>
      </c>
      <c r="L11" t="s">
        <v>45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188E-420C-490A-882D-C0A7613FA81D}">
  <dimension ref="A1:G24"/>
  <sheetViews>
    <sheetView workbookViewId="0">
      <selection activeCell="D22" sqref="D22"/>
    </sheetView>
  </sheetViews>
  <sheetFormatPr defaultRowHeight="14.4" x14ac:dyDescent="0.3"/>
  <cols>
    <col min="1" max="1" width="38.21875" bestFit="1" customWidth="1"/>
    <col min="2" max="2" width="26.109375" bestFit="1" customWidth="1"/>
    <col min="3" max="3" width="15.5546875" bestFit="1" customWidth="1"/>
    <col min="4" max="4" width="22.33203125" bestFit="1" customWidth="1"/>
    <col min="5" max="5" width="19.109375" bestFit="1" customWidth="1"/>
    <col min="6" max="6" width="40.6640625" bestFit="1" customWidth="1"/>
    <col min="7" max="7" width="16.109375" bestFit="1" customWidth="1"/>
  </cols>
  <sheetData>
    <row r="1" spans="1:7" x14ac:dyDescent="0.3">
      <c r="A1" t="s">
        <v>47</v>
      </c>
      <c r="B1" t="s">
        <v>48</v>
      </c>
      <c r="C1" t="s">
        <v>64</v>
      </c>
      <c r="D1" t="s">
        <v>49</v>
      </c>
      <c r="E1" t="s">
        <v>65</v>
      </c>
      <c r="F1" t="s">
        <v>50</v>
      </c>
      <c r="G1" t="s">
        <v>66</v>
      </c>
    </row>
    <row r="2" spans="1:7" x14ac:dyDescent="0.3">
      <c r="A2" t="s">
        <v>51</v>
      </c>
      <c r="B2" t="s">
        <v>52</v>
      </c>
      <c r="C2">
        <v>1</v>
      </c>
      <c r="D2" t="s">
        <v>53</v>
      </c>
      <c r="E2">
        <v>3</v>
      </c>
      <c r="F2" t="s">
        <v>54</v>
      </c>
      <c r="G2">
        <v>5</v>
      </c>
    </row>
    <row r="3" spans="1:7" x14ac:dyDescent="0.3">
      <c r="A3" t="s">
        <v>6</v>
      </c>
      <c r="B3" t="s">
        <v>55</v>
      </c>
      <c r="C3">
        <v>1</v>
      </c>
      <c r="D3" t="s">
        <v>56</v>
      </c>
      <c r="E3">
        <v>2</v>
      </c>
      <c r="F3" t="s">
        <v>78</v>
      </c>
      <c r="G3">
        <v>4</v>
      </c>
    </row>
    <row r="4" spans="1:7" x14ac:dyDescent="0.3">
      <c r="A4" t="s">
        <v>7</v>
      </c>
      <c r="B4" t="s">
        <v>58</v>
      </c>
      <c r="C4">
        <v>1</v>
      </c>
      <c r="D4" t="s">
        <v>59</v>
      </c>
      <c r="E4">
        <v>2</v>
      </c>
      <c r="F4" t="s">
        <v>57</v>
      </c>
      <c r="G4">
        <v>5</v>
      </c>
    </row>
    <row r="5" spans="1:7" x14ac:dyDescent="0.3">
      <c r="A5" t="s">
        <v>9</v>
      </c>
      <c r="B5" t="s">
        <v>43</v>
      </c>
      <c r="C5">
        <v>1</v>
      </c>
      <c r="D5" t="s">
        <v>42</v>
      </c>
      <c r="E5">
        <v>2</v>
      </c>
      <c r="F5" t="s">
        <v>41</v>
      </c>
      <c r="G5">
        <v>3</v>
      </c>
    </row>
    <row r="6" spans="1:7" x14ac:dyDescent="0.3">
      <c r="A6" t="s">
        <v>10</v>
      </c>
      <c r="B6" t="s">
        <v>41</v>
      </c>
      <c r="C6">
        <v>1</v>
      </c>
      <c r="D6" t="s">
        <v>60</v>
      </c>
      <c r="E6" t="s">
        <v>60</v>
      </c>
      <c r="F6" t="s">
        <v>43</v>
      </c>
      <c r="G6">
        <v>2</v>
      </c>
    </row>
    <row r="7" spans="1:7" x14ac:dyDescent="0.3">
      <c r="A7" t="s">
        <v>11</v>
      </c>
      <c r="B7" t="s">
        <v>44</v>
      </c>
      <c r="C7">
        <v>1</v>
      </c>
      <c r="D7" t="s">
        <v>46</v>
      </c>
      <c r="E7">
        <v>2</v>
      </c>
      <c r="F7" t="s">
        <v>45</v>
      </c>
      <c r="G7">
        <v>4</v>
      </c>
    </row>
    <row r="8" spans="1:7" x14ac:dyDescent="0.3">
      <c r="A8" t="s">
        <v>1</v>
      </c>
      <c r="B8" t="s">
        <v>62</v>
      </c>
      <c r="C8">
        <v>1</v>
      </c>
      <c r="D8" t="s">
        <v>61</v>
      </c>
      <c r="E8">
        <v>3</v>
      </c>
      <c r="F8" t="s">
        <v>63</v>
      </c>
      <c r="G8">
        <v>5</v>
      </c>
    </row>
    <row r="9" spans="1:7" x14ac:dyDescent="0.3">
      <c r="A9" t="s">
        <v>5</v>
      </c>
      <c r="B9" t="s">
        <v>69</v>
      </c>
      <c r="C9">
        <v>1</v>
      </c>
      <c r="D9" t="s">
        <v>70</v>
      </c>
      <c r="E9">
        <v>2</v>
      </c>
      <c r="F9" t="s">
        <v>71</v>
      </c>
      <c r="G9">
        <v>3</v>
      </c>
    </row>
    <row r="10" spans="1:7" x14ac:dyDescent="0.3">
      <c r="A10" t="s">
        <v>2</v>
      </c>
      <c r="B10" t="s">
        <v>72</v>
      </c>
      <c r="C10">
        <v>1</v>
      </c>
      <c r="D10" s="4" t="s">
        <v>73</v>
      </c>
      <c r="E10">
        <v>2</v>
      </c>
      <c r="F10" s="5" t="s">
        <v>74</v>
      </c>
      <c r="G10">
        <v>3</v>
      </c>
    </row>
    <row r="11" spans="1:7" x14ac:dyDescent="0.3">
      <c r="A11" t="s">
        <v>8</v>
      </c>
      <c r="B11" s="6">
        <v>100000</v>
      </c>
      <c r="C11">
        <v>1</v>
      </c>
      <c r="D11" t="s">
        <v>60</v>
      </c>
      <c r="E11" t="s">
        <v>60</v>
      </c>
      <c r="F11" s="6">
        <v>200000</v>
      </c>
      <c r="G11">
        <v>3</v>
      </c>
    </row>
    <row r="14" spans="1:7" x14ac:dyDescent="0.3">
      <c r="A14" t="s">
        <v>89</v>
      </c>
      <c r="B14" t="s">
        <v>84</v>
      </c>
    </row>
    <row r="15" spans="1:7" x14ac:dyDescent="0.3">
      <c r="A15" t="s">
        <v>48</v>
      </c>
      <c r="B15" t="s">
        <v>86</v>
      </c>
    </row>
    <row r="16" spans="1:7" x14ac:dyDescent="0.3">
      <c r="A16" t="s">
        <v>49</v>
      </c>
      <c r="B16" t="s">
        <v>87</v>
      </c>
    </row>
    <row r="17" spans="1:2" x14ac:dyDescent="0.3">
      <c r="A17" t="s">
        <v>50</v>
      </c>
      <c r="B17" t="s">
        <v>88</v>
      </c>
    </row>
    <row r="20" spans="1:2" x14ac:dyDescent="0.3">
      <c r="A20" t="s">
        <v>95</v>
      </c>
      <c r="B20" t="s">
        <v>91</v>
      </c>
    </row>
    <row r="21" spans="1:2" x14ac:dyDescent="0.3">
      <c r="A21" t="s">
        <v>48</v>
      </c>
      <c r="B21" t="s">
        <v>92</v>
      </c>
    </row>
    <row r="22" spans="1:2" x14ac:dyDescent="0.3">
      <c r="A22" t="s">
        <v>96</v>
      </c>
      <c r="B22" t="s">
        <v>92</v>
      </c>
    </row>
    <row r="23" spans="1:2" x14ac:dyDescent="0.3">
      <c r="A23" t="s">
        <v>97</v>
      </c>
      <c r="B23" t="s">
        <v>93</v>
      </c>
    </row>
    <row r="24" spans="1:2" x14ac:dyDescent="0.3">
      <c r="A24" t="s">
        <v>50</v>
      </c>
      <c r="B24" t="s">
        <v>94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EAF9-4B86-44C3-A9E3-28D9BA66DBAE}">
  <dimension ref="A1:Z25"/>
  <sheetViews>
    <sheetView zoomScale="90" zoomScaleNormal="90" workbookViewId="0">
      <selection activeCell="Z2" sqref="Z2"/>
    </sheetView>
  </sheetViews>
  <sheetFormatPr defaultRowHeight="14.4" x14ac:dyDescent="0.3"/>
  <cols>
    <col min="1" max="1" width="13.6640625" bestFit="1" customWidth="1"/>
    <col min="2" max="2" width="20.5546875" bestFit="1" customWidth="1"/>
    <col min="3" max="3" width="20.109375" bestFit="1" customWidth="1"/>
    <col min="4" max="4" width="19" bestFit="1" customWidth="1"/>
    <col min="5" max="5" width="17.88671875" bestFit="1" customWidth="1"/>
    <col min="6" max="6" width="13.44140625" bestFit="1" customWidth="1"/>
    <col min="7" max="7" width="14.33203125" bestFit="1" customWidth="1"/>
    <col min="8" max="8" width="14.44140625" bestFit="1" customWidth="1"/>
    <col min="9" max="9" width="17.88671875" bestFit="1" customWidth="1"/>
    <col min="10" max="10" width="16.77734375" bestFit="1" customWidth="1"/>
    <col min="11" max="11" width="19.33203125" bestFit="1" customWidth="1"/>
    <col min="12" max="12" width="20.109375" bestFit="1" customWidth="1"/>
    <col min="13" max="13" width="20.44140625" bestFit="1" customWidth="1"/>
    <col min="14" max="14" width="28.77734375" bestFit="1" customWidth="1"/>
    <col min="15" max="15" width="27.6640625" bestFit="1" customWidth="1"/>
    <col min="16" max="16" width="23.21875" bestFit="1" customWidth="1"/>
    <col min="17" max="17" width="24.109375" bestFit="1" customWidth="1"/>
    <col min="18" max="18" width="24.21875" bestFit="1" customWidth="1"/>
    <col min="19" max="19" width="27.6640625" bestFit="1" customWidth="1"/>
    <col min="20" max="20" width="26.6640625" bestFit="1" customWidth="1"/>
    <col min="21" max="21" width="29.109375" bestFit="1" customWidth="1"/>
    <col min="22" max="22" width="29.88671875" bestFit="1" customWidth="1"/>
    <col min="23" max="23" width="17.5546875" bestFit="1" customWidth="1"/>
    <col min="24" max="24" width="11.88671875" bestFit="1" customWidth="1"/>
    <col min="25" max="25" width="23.88671875" bestFit="1" customWidth="1"/>
    <col min="26" max="26" width="71" bestFit="1" customWidth="1"/>
  </cols>
  <sheetData>
    <row r="1" spans="1:26" x14ac:dyDescent="0.3">
      <c r="A1" t="s">
        <v>0</v>
      </c>
      <c r="B1" t="s">
        <v>3</v>
      </c>
      <c r="C1" t="s">
        <v>1</v>
      </c>
      <c r="D1" t="s">
        <v>4</v>
      </c>
      <c r="E1" t="s">
        <v>5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67</v>
      </c>
      <c r="N1" t="s">
        <v>68</v>
      </c>
      <c r="O1" t="s">
        <v>75</v>
      </c>
      <c r="P1" t="s">
        <v>76</v>
      </c>
      <c r="Q1" t="s">
        <v>77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90</v>
      </c>
      <c r="Z1" t="s">
        <v>98</v>
      </c>
    </row>
    <row r="2" spans="1:26" x14ac:dyDescent="0.3">
      <c r="A2" t="s">
        <v>12</v>
      </c>
      <c r="B2" t="s">
        <v>26</v>
      </c>
      <c r="C2" t="s">
        <v>32</v>
      </c>
      <c r="D2">
        <v>1</v>
      </c>
      <c r="E2" s="1">
        <v>300000</v>
      </c>
      <c r="F2">
        <v>5</v>
      </c>
      <c r="G2">
        <v>0</v>
      </c>
      <c r="H2" s="1">
        <v>0</v>
      </c>
      <c r="I2" s="2">
        <v>100000</v>
      </c>
      <c r="J2" t="s">
        <v>41</v>
      </c>
      <c r="K2" t="s">
        <v>41</v>
      </c>
      <c r="L2" s="3" t="s">
        <v>44</v>
      </c>
      <c r="M2" cm="1">
        <f t="array" ref="M2">_xlfn.IFS(OR(Table14[[#This Row],[Industry]]="Automotive",Table14[[#This Row],[Industry]]="Clothing",Table14[[#This Row],[Industry]]="Fast Food"),Guidelines!$C$8,OR(Table14[[#This Row],[Industry]]="Restaurant",Table14[[#This Row],[Industry]]="Retail",Table14[[#This Row],[Industry]]="Delivery"),Guidelines!$E$8,OR(Table14[[#This Row],[Industry]]="Consumer Electronics",Table14[[#This Row],[Industry]]="Auto Repair",Table14[[#This Row],[Industry]]="E-Commerce"),Guidelines!$G$8)</f>
        <v>3</v>
      </c>
      <c r="N2" cm="1">
        <f t="array" ref="N2">_xlfn.IFS(Table14[[#This Row],[Years In Business]]&lt;=2,Guidelines!$G$2,Table14[[#This Row],[Years In Business]]&lt;=6,Guidelines!$E$2,Table14[[#This Row],[Years In Business]]&gt;=7,Guidelines!$C$2)</f>
        <v>5</v>
      </c>
      <c r="O2" cm="1">
        <f t="array" ref="O2">_xlfn.IFS(Table14[[#This Row],[Annual Revenue]]&lt;=400000,Guidelines!$C$9,Table14[[#This Row],[Annual Revenue]]&lt;=1000000,Guidelines!$E$9,Table14[[#This Row],[Annual Revenue]]&gt;=1000001,Guidelines!$G$9)</f>
        <v>1</v>
      </c>
      <c r="P2" cm="1">
        <f t="array" ref="P2">_xlfn.IFS(Table14[[#This Row],[Employees]]&lt;=10,Guidelines!$C$10,Table14[[#This Row],[Employees]]&lt;=20,Guidelines!$E$10,Table14[[#This Row],[Employees]]&gt;=21,Guidelines!$G$10)</f>
        <v>1</v>
      </c>
      <c r="Q2" cm="1">
        <f t="array" ref="Q2">_xlfn.IFS(Table14[[#This Row],[Prior Claims]]=0,Guidelines!$C$3,Table14[[#This Row],[Prior Claims]]&lt;=2,Guidelines!$E$3,Table14[[#This Row],[Prior Claims]]&gt;=3,Guidelines!$G$3)</f>
        <v>1</v>
      </c>
      <c r="R2" cm="1">
        <f t="array" ref="R2">_xlfn.IFS(Table14[[#This Row],[Total Losses]]&lt;=15000,Guidelines!$C$4,Table14[[#This Row],[Total Losses]]&lt;=40000,Guidelines!$E$4,Table14[[#This Row],[Total Losses]]&gt;=40001,Guidelines!$G$4)</f>
        <v>1</v>
      </c>
      <c r="S2" cm="1">
        <f t="array" ref="S2">_xlfn.IFS(Table14[[#This Row],[Requested Limit]]=100000,Guidelines!$C$11,Table14[[#This Row],[Requested Limit]]=200000,Guidelines!$G$11)</f>
        <v>1</v>
      </c>
      <c r="T2" cm="1">
        <f t="array" ref="T2">_xlfn.IFS(Table14[[#This Row],[Safety Program]]="Yes",Guidelines!$C$5,Table14[[#This Row],[Safety Program]]="Partial",Guidelines!$E$5,Table14[[#This Row],[Safety Program]]="No",Guidelines!$G$5)</f>
        <v>3</v>
      </c>
      <c r="U2" cm="1">
        <f t="array" ref="U2">_xlfn.IFS(Table14[[#This Row],[Prior Cancellation]]="No",Guidelines!$C$6,Table14[[#This Row],[Prior Cancellation]]="Yes",Guidelines!$G$6)</f>
        <v>1</v>
      </c>
      <c r="V2" cm="1">
        <f t="array" ref="V2">_xlfn.IFS(Table14[[#This Row],[Property Condition]]="Good",Guidelines!$C$7,Table14[[#This Row],[Property Condition]]="Average",Guidelines!$E$7,Table14[[#This Row],[Property Condition]]="Poor",Guidelines!$G$7)</f>
        <v>1</v>
      </c>
      <c r="W2">
        <f>SUM(Table14[[#This Row],[Industry Risk Score]:[Property Condition Risk Score]])</f>
        <v>18</v>
      </c>
      <c r="X2" t="str" cm="1">
        <f t="array" ref="X2">_xlfn.IFS(Table14[[#This Row],[Total Risk Score]]&lt;=20,"Low Risk",Table14[[#This Row],[Total Risk Score]]&lt;=23,"Medium Risk",Table14[[#This Row],[Total Risk Score]]&gt;=24,"High Risk")</f>
        <v>Low Risk</v>
      </c>
      <c r="Y2" t="str" cm="1">
        <f t="array" ref="Y2">_xlfn.IFS(Table14[[#This Row],[Risk Tier]]="Low Risk", "Approve",AND(Table14[[#This Row],[Risk Tier]]="Medium Risk",Table14[[#This Row],[Years In Business]]&gt;=8),"Approve",AND(Table14[[#This Row],[Risk Tier]]="Medium Risk",Table14[[#This Row],[Years In Business]]&lt;=7),"Refer to Senior Underwriter",Table14[[#This Row],[Risk Tier]]="High Risk","Decline")</f>
        <v>Approve</v>
      </c>
      <c r="Z2" t="str" cm="1">
        <f t="array" ref="Z2">_xlfn.IFS(Table14[[#This Row],[Underwriting Decision]]="Approve","Acceptable risk based on overall risk factors",Table14[[#This Row],[Underwriting Decision]]="Refer to Senior Underwriter","Risk level is close to approval threshold. Senior Underwriter needs to approve this.",Table14[[#This Row],[Underwriting Decision]]="Decline", "Risk level is too high based on risk factors")</f>
        <v>Acceptable risk based on overall risk factors</v>
      </c>
    </row>
    <row r="3" spans="1:26" x14ac:dyDescent="0.3">
      <c r="A3" t="s">
        <v>13</v>
      </c>
      <c r="B3" t="s">
        <v>30</v>
      </c>
      <c r="C3" t="s">
        <v>34</v>
      </c>
      <c r="D3">
        <v>5</v>
      </c>
      <c r="E3" s="1">
        <v>450000</v>
      </c>
      <c r="F3">
        <v>7</v>
      </c>
      <c r="G3">
        <v>2</v>
      </c>
      <c r="H3" s="1">
        <v>15000</v>
      </c>
      <c r="I3" s="2">
        <v>100000</v>
      </c>
      <c r="J3" t="s">
        <v>42</v>
      </c>
      <c r="K3" t="s">
        <v>43</v>
      </c>
      <c r="L3" s="3" t="s">
        <v>45</v>
      </c>
      <c r="M3" cm="1">
        <f t="array" ref="M3">_xlfn.IFS(OR(Table14[[#This Row],[Industry]]="Automotive",Table14[[#This Row],[Industry]]="Clothing",Table14[[#This Row],[Industry]]="Fast Food"),Guidelines!$C$8,OR(Table14[[#This Row],[Industry]]="Restaurant",Table14[[#This Row],[Industry]]="Retail",Table14[[#This Row],[Industry]]="Delivery"),Guidelines!$E$8,OR(Table14[[#This Row],[Industry]]="Consumer Electronics",Table14[[#This Row],[Industry]]="Auto Repair",Table14[[#This Row],[Industry]]="E-Commerce"),Guidelines!$G$8)</f>
        <v>3</v>
      </c>
      <c r="N3" cm="1">
        <f t="array" ref="N3">_xlfn.IFS(Table14[[#This Row],[Years In Business]]&lt;=2,Guidelines!$G$2,Table14[[#This Row],[Years In Business]]&lt;=6,Guidelines!$E$2,Table14[[#This Row],[Years In Business]]&gt;=7,Guidelines!$C$2)</f>
        <v>3</v>
      </c>
      <c r="O3" cm="1">
        <f t="array" ref="O3">_xlfn.IFS(Table14[[#This Row],[Annual Revenue]]&lt;=400000,Guidelines!$C$9,Table14[[#This Row],[Annual Revenue]]&lt;=1000000,Guidelines!$E$9,Table14[[#This Row],[Annual Revenue]]&gt;=1000001,Guidelines!$G$9)</f>
        <v>2</v>
      </c>
      <c r="P3" cm="1">
        <f t="array" ref="P3">_xlfn.IFS(Table14[[#This Row],[Employees]]&lt;=10,Guidelines!$C$10,Table14[[#This Row],[Employees]]&lt;=20,Guidelines!$E$10,Table14[[#This Row],[Employees]]&gt;=21,Guidelines!$G$10)</f>
        <v>1</v>
      </c>
      <c r="Q3" cm="1">
        <f t="array" ref="Q3">_xlfn.IFS(Table14[[#This Row],[Prior Claims]]=0,Guidelines!$C$3,Table14[[#This Row],[Prior Claims]]&lt;=2,Guidelines!$E$3,Table14[[#This Row],[Prior Claims]]&gt;=3,Guidelines!$G$3)</f>
        <v>2</v>
      </c>
      <c r="R3" cm="1">
        <f t="array" ref="R3">_xlfn.IFS(Table14[[#This Row],[Total Losses]]&lt;=15000,Guidelines!$C$4,Table14[[#This Row],[Total Losses]]&lt;=40000,Guidelines!$E$4,Table14[[#This Row],[Total Losses]]&gt;=40001,Guidelines!$G$4)</f>
        <v>1</v>
      </c>
      <c r="S3" cm="1">
        <f t="array" ref="S3">_xlfn.IFS(Table14[[#This Row],[Requested Limit]]=100000,Guidelines!$C$11,Table14[[#This Row],[Requested Limit]]=200000,Guidelines!$G$11)</f>
        <v>1</v>
      </c>
      <c r="T3" cm="1">
        <f t="array" ref="T3">_xlfn.IFS(Table14[[#This Row],[Safety Program]]="Yes",Guidelines!$C$5,Table14[[#This Row],[Safety Program]]="Partial",Guidelines!$E$5,Table14[[#This Row],[Safety Program]]="No",Guidelines!$G$5)</f>
        <v>2</v>
      </c>
      <c r="U3" cm="1">
        <f t="array" ref="U3">_xlfn.IFS(Table14[[#This Row],[Prior Cancellation]]="No",Guidelines!$C$6,Table14[[#This Row],[Prior Cancellation]]="Yes",Guidelines!$G$6)</f>
        <v>2</v>
      </c>
      <c r="V3" cm="1">
        <f t="array" ref="V3">_xlfn.IFS(Table14[[#This Row],[Property Condition]]="Good",Guidelines!$C$7,Table14[[#This Row],[Property Condition]]="Average",Guidelines!$E$7,Table14[[#This Row],[Property Condition]]="Poor",Guidelines!$G$7)</f>
        <v>4</v>
      </c>
      <c r="W3">
        <f>SUM(Table14[[#This Row],[Industry Risk Score]:[Property Condition Risk Score]])</f>
        <v>21</v>
      </c>
      <c r="X3" t="str" cm="1">
        <f t="array" ref="X3">_xlfn.IFS(Table14[[#This Row],[Total Risk Score]]&lt;=20,"Low Risk",Table14[[#This Row],[Total Risk Score]]&lt;=23,"Medium Risk",Table14[[#This Row],[Total Risk Score]]&gt;=24,"High Risk")</f>
        <v>Medium Risk</v>
      </c>
      <c r="Y3" t="str" cm="1">
        <f t="array" ref="Y3">_xlfn.IFS(Table14[[#This Row],[Risk Tier]]="Low Risk", "Approve",AND(Table14[[#This Row],[Risk Tier]]="Medium Risk",Table14[[#This Row],[Years In Business]]&gt;=8),"Approve",AND(Table14[[#This Row],[Risk Tier]]="Medium Risk",Table14[[#This Row],[Years In Business]]&lt;=7),"Refer to Senior Underwriter",Table14[[#This Row],[Risk Tier]]="High Risk","Decline")</f>
        <v>Refer to Senior Underwriter</v>
      </c>
      <c r="Z3" t="str" cm="1">
        <f t="array" ref="Z3">_xlfn.IFS(Table14[[#This Row],[Underwriting Decision]]="Approve","Acceptable risk based on overall risk factors",Table14[[#This Row],[Underwriting Decision]]="Refer to Senior Underwriter","Risk level is close to approval threshold. Senior Underwriter needs to approve this.",Table14[[#This Row],[Underwriting Decision]]="Decline", "Risk level is too high based on risk factors")</f>
        <v>Risk level is close to approval threshold. Senior Underwriter needs to approve this.</v>
      </c>
    </row>
    <row r="4" spans="1:26" x14ac:dyDescent="0.3">
      <c r="A4" t="s">
        <v>14</v>
      </c>
      <c r="B4" t="s">
        <v>36</v>
      </c>
      <c r="C4" t="s">
        <v>37</v>
      </c>
      <c r="D4">
        <v>6</v>
      </c>
      <c r="E4" s="1">
        <v>800000</v>
      </c>
      <c r="F4">
        <v>15</v>
      </c>
      <c r="G4">
        <v>3</v>
      </c>
      <c r="H4" s="1">
        <v>35000</v>
      </c>
      <c r="I4" s="2">
        <v>100000</v>
      </c>
      <c r="J4" t="s">
        <v>42</v>
      </c>
      <c r="K4" t="s">
        <v>43</v>
      </c>
      <c r="L4" s="3" t="s">
        <v>46</v>
      </c>
      <c r="M4" cm="1">
        <f t="array" ref="M4">_xlfn.IFS(OR(Table14[[#This Row],[Industry]]="Automotive",Table14[[#This Row],[Industry]]="Clothing",Table14[[#This Row],[Industry]]="Fast Food"),Guidelines!$C$8,OR(Table14[[#This Row],[Industry]]="Restaurant",Table14[[#This Row],[Industry]]="Retail",Table14[[#This Row],[Industry]]="Delivery"),Guidelines!$E$8,OR(Table14[[#This Row],[Industry]]="Consumer Electronics",Table14[[#This Row],[Industry]]="Auto Repair",Table14[[#This Row],[Industry]]="E-Commerce"),Guidelines!$G$8)</f>
        <v>1</v>
      </c>
      <c r="N4" cm="1">
        <f t="array" ref="N4">_xlfn.IFS(Table14[[#This Row],[Years In Business]]&lt;=2,Guidelines!$G$2,Table14[[#This Row],[Years In Business]]&lt;=6,Guidelines!$E$2,Table14[[#This Row],[Years In Business]]&gt;=7,Guidelines!$C$2)</f>
        <v>3</v>
      </c>
      <c r="O4" cm="1">
        <f t="array" ref="O4">_xlfn.IFS(Table14[[#This Row],[Annual Revenue]]&lt;=400000,Guidelines!$C$9,Table14[[#This Row],[Annual Revenue]]&lt;=1000000,Guidelines!$E$9,Table14[[#This Row],[Annual Revenue]]&gt;=1000001,Guidelines!$G$9)</f>
        <v>2</v>
      </c>
      <c r="P4" cm="1">
        <f t="array" ref="P4">_xlfn.IFS(Table14[[#This Row],[Employees]]&lt;=10,Guidelines!$C$10,Table14[[#This Row],[Employees]]&lt;=20,Guidelines!$E$10,Table14[[#This Row],[Employees]]&gt;=21,Guidelines!$G$10)</f>
        <v>2</v>
      </c>
      <c r="Q4" cm="1">
        <f t="array" ref="Q4">_xlfn.IFS(Table14[[#This Row],[Prior Claims]]=0,Guidelines!$C$3,Table14[[#This Row],[Prior Claims]]&lt;=2,Guidelines!$E$3,Table14[[#This Row],[Prior Claims]]&gt;=3,Guidelines!$G$3)</f>
        <v>4</v>
      </c>
      <c r="R4" cm="1">
        <f t="array" ref="R4">_xlfn.IFS(Table14[[#This Row],[Total Losses]]&lt;=15000,Guidelines!$C$4,Table14[[#This Row],[Total Losses]]&lt;=40000,Guidelines!$E$4,Table14[[#This Row],[Total Losses]]&gt;=40001,Guidelines!$G$4)</f>
        <v>2</v>
      </c>
      <c r="S4" cm="1">
        <f t="array" ref="S4">_xlfn.IFS(Table14[[#This Row],[Requested Limit]]=100000,Guidelines!$C$11,Table14[[#This Row],[Requested Limit]]=200000,Guidelines!$G$11)</f>
        <v>1</v>
      </c>
      <c r="T4" cm="1">
        <f t="array" ref="T4">_xlfn.IFS(Table14[[#This Row],[Safety Program]]="Yes",Guidelines!$C$5,Table14[[#This Row],[Safety Program]]="Partial",Guidelines!$E$5,Table14[[#This Row],[Safety Program]]="No",Guidelines!$G$5)</f>
        <v>2</v>
      </c>
      <c r="U4" cm="1">
        <f t="array" ref="U4">_xlfn.IFS(Table14[[#This Row],[Prior Cancellation]]="No",Guidelines!$C$6,Table14[[#This Row],[Prior Cancellation]]="Yes",Guidelines!$G$6)</f>
        <v>2</v>
      </c>
      <c r="V4" cm="1">
        <f t="array" ref="V4">_xlfn.IFS(Table14[[#This Row],[Property Condition]]="Good",Guidelines!$C$7,Table14[[#This Row],[Property Condition]]="Average",Guidelines!$E$7,Table14[[#This Row],[Property Condition]]="Poor",Guidelines!$G$7)</f>
        <v>2</v>
      </c>
      <c r="W4">
        <f>SUM(Table14[[#This Row],[Industry Risk Score]:[Property Condition Risk Score]])</f>
        <v>21</v>
      </c>
      <c r="X4" t="str" cm="1">
        <f t="array" ref="X4">_xlfn.IFS(Table14[[#This Row],[Total Risk Score]]&lt;=20,"Low Risk",Table14[[#This Row],[Total Risk Score]]&lt;=23,"Medium Risk",Table14[[#This Row],[Total Risk Score]]&gt;=24,"High Risk")</f>
        <v>Medium Risk</v>
      </c>
      <c r="Y4" t="str" cm="1">
        <f t="array" ref="Y4">_xlfn.IFS(Table14[[#This Row],[Risk Tier]]="Low Risk", "Approve",AND(Table14[[#This Row],[Risk Tier]]="Medium Risk",Table14[[#This Row],[Years In Business]]&gt;=8),"Approve",AND(Table14[[#This Row],[Risk Tier]]="Medium Risk",Table14[[#This Row],[Years In Business]]&lt;=7),"Refer to Senior Underwriter",Table14[[#This Row],[Risk Tier]]="High Risk","Decline")</f>
        <v>Refer to Senior Underwriter</v>
      </c>
      <c r="Z4" t="str" cm="1">
        <f t="array" ref="Z4">_xlfn.IFS(Table14[[#This Row],[Underwriting Decision]]="Approve","Acceptable risk based on overall risk factors",Table14[[#This Row],[Underwriting Decision]]="Refer to Senior Underwriter","Risk level is close to approval threshold. Senior Underwriter needs to approve this.",Table14[[#This Row],[Underwriting Decision]]="Decline", "Risk level is too high based on risk factors")</f>
        <v>Risk level is close to approval threshold. Senior Underwriter needs to approve this.</v>
      </c>
    </row>
    <row r="5" spans="1:26" x14ac:dyDescent="0.3">
      <c r="A5" t="s">
        <v>15</v>
      </c>
      <c r="B5" t="s">
        <v>29</v>
      </c>
      <c r="C5" t="s">
        <v>24</v>
      </c>
      <c r="D5">
        <v>3</v>
      </c>
      <c r="E5" s="1">
        <v>200000</v>
      </c>
      <c r="F5">
        <v>3</v>
      </c>
      <c r="G5">
        <v>1</v>
      </c>
      <c r="H5" s="1">
        <v>8000</v>
      </c>
      <c r="I5" s="2">
        <v>100000</v>
      </c>
      <c r="J5" t="s">
        <v>41</v>
      </c>
      <c r="K5" t="s">
        <v>41</v>
      </c>
      <c r="L5" s="3" t="s">
        <v>45</v>
      </c>
      <c r="M5" cm="1">
        <f t="array" ref="M5">_xlfn.IFS(OR(Table14[[#This Row],[Industry]]="Automotive",Table14[[#This Row],[Industry]]="Clothing",Table14[[#This Row],[Industry]]="Fast Food"),Guidelines!$C$8,OR(Table14[[#This Row],[Industry]]="Restaurant",Table14[[#This Row],[Industry]]="Retail",Table14[[#This Row],[Industry]]="Delivery"),Guidelines!$E$8,OR(Table14[[#This Row],[Industry]]="Consumer Electronics",Table14[[#This Row],[Industry]]="Auto Repair",Table14[[#This Row],[Industry]]="E-Commerce"),Guidelines!$G$8)</f>
        <v>3</v>
      </c>
      <c r="N5" cm="1">
        <f t="array" ref="N5">_xlfn.IFS(Table14[[#This Row],[Years In Business]]&lt;=2,Guidelines!$G$2,Table14[[#This Row],[Years In Business]]&lt;=6,Guidelines!$E$2,Table14[[#This Row],[Years In Business]]&gt;=7,Guidelines!$C$2)</f>
        <v>3</v>
      </c>
      <c r="O5" cm="1">
        <f t="array" ref="O5">_xlfn.IFS(Table14[[#This Row],[Annual Revenue]]&lt;=400000,Guidelines!$C$9,Table14[[#This Row],[Annual Revenue]]&lt;=1000000,Guidelines!$E$9,Table14[[#This Row],[Annual Revenue]]&gt;=1000001,Guidelines!$G$9)</f>
        <v>1</v>
      </c>
      <c r="P5" cm="1">
        <f t="array" ref="P5">_xlfn.IFS(Table14[[#This Row],[Employees]]&lt;=10,Guidelines!$C$10,Table14[[#This Row],[Employees]]&lt;=20,Guidelines!$E$10,Table14[[#This Row],[Employees]]&gt;=21,Guidelines!$G$10)</f>
        <v>1</v>
      </c>
      <c r="Q5" cm="1">
        <f t="array" ref="Q5">_xlfn.IFS(Table14[[#This Row],[Prior Claims]]=0,Guidelines!$C$3,Table14[[#This Row],[Prior Claims]]&lt;=2,Guidelines!$E$3,Table14[[#This Row],[Prior Claims]]&gt;=3,Guidelines!$G$3)</f>
        <v>2</v>
      </c>
      <c r="R5" cm="1">
        <f t="array" ref="R5">_xlfn.IFS(Table14[[#This Row],[Total Losses]]&lt;=15000,Guidelines!$C$4,Table14[[#This Row],[Total Losses]]&lt;=40000,Guidelines!$E$4,Table14[[#This Row],[Total Losses]]&gt;=40001,Guidelines!$G$4)</f>
        <v>1</v>
      </c>
      <c r="S5" cm="1">
        <f t="array" ref="S5">_xlfn.IFS(Table14[[#This Row],[Requested Limit]]=100000,Guidelines!$C$11,Table14[[#This Row],[Requested Limit]]=200000,Guidelines!$G$11)</f>
        <v>1</v>
      </c>
      <c r="T5" cm="1">
        <f t="array" ref="T5">_xlfn.IFS(Table14[[#This Row],[Safety Program]]="Yes",Guidelines!$C$5,Table14[[#This Row],[Safety Program]]="Partial",Guidelines!$E$5,Table14[[#This Row],[Safety Program]]="No",Guidelines!$G$5)</f>
        <v>3</v>
      </c>
      <c r="U5" cm="1">
        <f t="array" ref="U5">_xlfn.IFS(Table14[[#This Row],[Prior Cancellation]]="No",Guidelines!$C$6,Table14[[#This Row],[Prior Cancellation]]="Yes",Guidelines!$G$6)</f>
        <v>1</v>
      </c>
      <c r="V5" cm="1">
        <f t="array" ref="V5">_xlfn.IFS(Table14[[#This Row],[Property Condition]]="Good",Guidelines!$C$7,Table14[[#This Row],[Property Condition]]="Average",Guidelines!$E$7,Table14[[#This Row],[Property Condition]]="Poor",Guidelines!$G$7)</f>
        <v>4</v>
      </c>
      <c r="W5">
        <f>SUM(Table14[[#This Row],[Industry Risk Score]:[Property Condition Risk Score]])</f>
        <v>20</v>
      </c>
      <c r="X5" t="str" cm="1">
        <f t="array" ref="X5">_xlfn.IFS(Table14[[#This Row],[Total Risk Score]]&lt;=20,"Low Risk",Table14[[#This Row],[Total Risk Score]]&lt;=23,"Medium Risk",Table14[[#This Row],[Total Risk Score]]&gt;=24,"High Risk")</f>
        <v>Low Risk</v>
      </c>
      <c r="Y5" t="str" cm="1">
        <f t="array" ref="Y5">_xlfn.IFS(Table14[[#This Row],[Risk Tier]]="Low Risk", "Approve",AND(Table14[[#This Row],[Risk Tier]]="Medium Risk",Table14[[#This Row],[Years In Business]]&gt;=8),"Approve",AND(Table14[[#This Row],[Risk Tier]]="Medium Risk",Table14[[#This Row],[Years In Business]]&lt;=7),"Refer to Senior Underwriter",Table14[[#This Row],[Risk Tier]]="High Risk","Decline")</f>
        <v>Approve</v>
      </c>
      <c r="Z5" t="str" cm="1">
        <f t="array" ref="Z5">_xlfn.IFS(Table14[[#This Row],[Underwriting Decision]]="Approve","Acceptable risk based on overall risk factors",Table14[[#This Row],[Underwriting Decision]]="Refer to Senior Underwriter","Risk level is close to approval threshold. Senior Underwriter needs to approve this.",Table14[[#This Row],[Underwriting Decision]]="Decline", "Risk level is too high based on risk factors")</f>
        <v>Acceptable risk based on overall risk factors</v>
      </c>
    </row>
    <row r="6" spans="1:26" x14ac:dyDescent="0.3">
      <c r="A6" t="s">
        <v>16</v>
      </c>
      <c r="B6" t="s">
        <v>27</v>
      </c>
      <c r="C6" t="s">
        <v>32</v>
      </c>
      <c r="D6">
        <v>4</v>
      </c>
      <c r="E6" s="1">
        <v>350000</v>
      </c>
      <c r="F6">
        <v>5</v>
      </c>
      <c r="G6">
        <v>3</v>
      </c>
      <c r="H6" s="1">
        <v>45000</v>
      </c>
      <c r="I6" s="2">
        <v>100000</v>
      </c>
      <c r="J6" t="s">
        <v>41</v>
      </c>
      <c r="K6" t="s">
        <v>43</v>
      </c>
      <c r="L6" s="3" t="s">
        <v>44</v>
      </c>
      <c r="M6" cm="1">
        <f t="array" ref="M6">_xlfn.IFS(OR(Table14[[#This Row],[Industry]]="Automotive",Table14[[#This Row],[Industry]]="Clothing",Table14[[#This Row],[Industry]]="Fast Food"),Guidelines!$C$8,OR(Table14[[#This Row],[Industry]]="Restaurant",Table14[[#This Row],[Industry]]="Retail",Table14[[#This Row],[Industry]]="Delivery"),Guidelines!$E$8,OR(Table14[[#This Row],[Industry]]="Consumer Electronics",Table14[[#This Row],[Industry]]="Auto Repair",Table14[[#This Row],[Industry]]="E-Commerce"),Guidelines!$G$8)</f>
        <v>3</v>
      </c>
      <c r="N6" cm="1">
        <f t="array" ref="N6">_xlfn.IFS(Table14[[#This Row],[Years In Business]]&lt;=2,Guidelines!$G$2,Table14[[#This Row],[Years In Business]]&lt;=6,Guidelines!$E$2,Table14[[#This Row],[Years In Business]]&gt;=7,Guidelines!$C$2)</f>
        <v>3</v>
      </c>
      <c r="O6" cm="1">
        <f t="array" ref="O6">_xlfn.IFS(Table14[[#This Row],[Annual Revenue]]&lt;=400000,Guidelines!$C$9,Table14[[#This Row],[Annual Revenue]]&lt;=1000000,Guidelines!$E$9,Table14[[#This Row],[Annual Revenue]]&gt;=1000001,Guidelines!$G$9)</f>
        <v>1</v>
      </c>
      <c r="P6" cm="1">
        <f t="array" ref="P6">_xlfn.IFS(Table14[[#This Row],[Employees]]&lt;=10,Guidelines!$C$10,Table14[[#This Row],[Employees]]&lt;=20,Guidelines!$E$10,Table14[[#This Row],[Employees]]&gt;=21,Guidelines!$G$10)</f>
        <v>1</v>
      </c>
      <c r="Q6" cm="1">
        <f t="array" ref="Q6">_xlfn.IFS(Table14[[#This Row],[Prior Claims]]=0,Guidelines!$C$3,Table14[[#This Row],[Prior Claims]]&lt;=2,Guidelines!$E$3,Table14[[#This Row],[Prior Claims]]&gt;=3,Guidelines!$G$3)</f>
        <v>4</v>
      </c>
      <c r="R6" cm="1">
        <f t="array" ref="R6">_xlfn.IFS(Table14[[#This Row],[Total Losses]]&lt;=15000,Guidelines!$C$4,Table14[[#This Row],[Total Losses]]&lt;=40000,Guidelines!$E$4,Table14[[#This Row],[Total Losses]]&gt;=40001,Guidelines!$G$4)</f>
        <v>5</v>
      </c>
      <c r="S6" cm="1">
        <f t="array" ref="S6">_xlfn.IFS(Table14[[#This Row],[Requested Limit]]=100000,Guidelines!$C$11,Table14[[#This Row],[Requested Limit]]=200000,Guidelines!$G$11)</f>
        <v>1</v>
      </c>
      <c r="T6" cm="1">
        <f t="array" ref="T6">_xlfn.IFS(Table14[[#This Row],[Safety Program]]="Yes",Guidelines!$C$5,Table14[[#This Row],[Safety Program]]="Partial",Guidelines!$E$5,Table14[[#This Row],[Safety Program]]="No",Guidelines!$G$5)</f>
        <v>3</v>
      </c>
      <c r="U6" cm="1">
        <f t="array" ref="U6">_xlfn.IFS(Table14[[#This Row],[Prior Cancellation]]="No",Guidelines!$C$6,Table14[[#This Row],[Prior Cancellation]]="Yes",Guidelines!$G$6)</f>
        <v>2</v>
      </c>
      <c r="V6" cm="1">
        <f t="array" ref="V6">_xlfn.IFS(Table14[[#This Row],[Property Condition]]="Good",Guidelines!$C$7,Table14[[#This Row],[Property Condition]]="Average",Guidelines!$E$7,Table14[[#This Row],[Property Condition]]="Poor",Guidelines!$G$7)</f>
        <v>1</v>
      </c>
      <c r="W6">
        <f>SUM(Table14[[#This Row],[Industry Risk Score]:[Property Condition Risk Score]])</f>
        <v>24</v>
      </c>
      <c r="X6" t="str" cm="1">
        <f t="array" ref="X6">_xlfn.IFS(Table14[[#This Row],[Total Risk Score]]&lt;=20,"Low Risk",Table14[[#This Row],[Total Risk Score]]&lt;=23,"Medium Risk",Table14[[#This Row],[Total Risk Score]]&gt;=24,"High Risk")</f>
        <v>High Risk</v>
      </c>
      <c r="Y6" t="str" cm="1">
        <f t="array" ref="Y6">_xlfn.IFS(Table14[[#This Row],[Risk Tier]]="Low Risk", "Approve",AND(Table14[[#This Row],[Risk Tier]]="Medium Risk",Table14[[#This Row],[Years In Business]]&gt;=8),"Approve",AND(Table14[[#This Row],[Risk Tier]]="Medium Risk",Table14[[#This Row],[Years In Business]]&lt;=7),"Refer to Senior Underwriter",Table14[[#This Row],[Risk Tier]]="High Risk","Decline")</f>
        <v>Decline</v>
      </c>
      <c r="Z6" t="str" cm="1">
        <f t="array" ref="Z6">_xlfn.IFS(Table14[[#This Row],[Underwriting Decision]]="Approve","Acceptable risk based on overall risk factors",Table14[[#This Row],[Underwriting Decision]]="Refer to Senior Underwriter","Risk level is close to approval threshold. Senior Underwriter needs to approve this.",Table14[[#This Row],[Underwriting Decision]]="Decline", "Risk level is too high based on risk factors")</f>
        <v>Risk level is too high based on risk factors</v>
      </c>
    </row>
    <row r="7" spans="1:26" x14ac:dyDescent="0.3">
      <c r="A7" t="s">
        <v>17</v>
      </c>
      <c r="B7" t="s">
        <v>31</v>
      </c>
      <c r="C7" t="s">
        <v>23</v>
      </c>
      <c r="D7">
        <v>8</v>
      </c>
      <c r="E7" s="1">
        <v>1200000</v>
      </c>
      <c r="F7">
        <v>25</v>
      </c>
      <c r="G7">
        <v>4</v>
      </c>
      <c r="H7" s="1">
        <v>80000</v>
      </c>
      <c r="I7" s="2">
        <v>200000</v>
      </c>
      <c r="J7" t="s">
        <v>43</v>
      </c>
      <c r="K7" t="s">
        <v>41</v>
      </c>
      <c r="L7" s="3" t="s">
        <v>46</v>
      </c>
      <c r="M7" cm="1">
        <f t="array" ref="M7">_xlfn.IFS(OR(Table14[[#This Row],[Industry]]="Automotive",Table14[[#This Row],[Industry]]="Clothing",Table14[[#This Row],[Industry]]="Fast Food"),Guidelines!$C$8,OR(Table14[[#This Row],[Industry]]="Restaurant",Table14[[#This Row],[Industry]]="Retail",Table14[[#This Row],[Industry]]="Delivery"),Guidelines!$E$8,OR(Table14[[#This Row],[Industry]]="Consumer Electronics",Table14[[#This Row],[Industry]]="Auto Repair",Table14[[#This Row],[Industry]]="E-Commerce"),Guidelines!$G$8)</f>
        <v>5</v>
      </c>
      <c r="N7" cm="1">
        <f t="array" ref="N7">_xlfn.IFS(Table14[[#This Row],[Years In Business]]&lt;=2,Guidelines!$G$2,Table14[[#This Row],[Years In Business]]&lt;=6,Guidelines!$E$2,Table14[[#This Row],[Years In Business]]&gt;=7,Guidelines!$C$2)</f>
        <v>1</v>
      </c>
      <c r="O7" cm="1">
        <f t="array" ref="O7">_xlfn.IFS(Table14[[#This Row],[Annual Revenue]]&lt;=400000,Guidelines!$C$9,Table14[[#This Row],[Annual Revenue]]&lt;=1000000,Guidelines!$E$9,Table14[[#This Row],[Annual Revenue]]&gt;=1000001,Guidelines!$G$9)</f>
        <v>3</v>
      </c>
      <c r="P7" cm="1">
        <f t="array" ref="P7">_xlfn.IFS(Table14[[#This Row],[Employees]]&lt;=10,Guidelines!$C$10,Table14[[#This Row],[Employees]]&lt;=20,Guidelines!$E$10,Table14[[#This Row],[Employees]]&gt;=21,Guidelines!$G$10)</f>
        <v>3</v>
      </c>
      <c r="Q7" cm="1">
        <f t="array" ref="Q7">_xlfn.IFS(Table14[[#This Row],[Prior Claims]]=0,Guidelines!$C$3,Table14[[#This Row],[Prior Claims]]&lt;=2,Guidelines!$E$3,Table14[[#This Row],[Prior Claims]]&gt;=3,Guidelines!$G$3)</f>
        <v>4</v>
      </c>
      <c r="R7" cm="1">
        <f t="array" ref="R7">_xlfn.IFS(Table14[[#This Row],[Total Losses]]&lt;=15000,Guidelines!$C$4,Table14[[#This Row],[Total Losses]]&lt;=40000,Guidelines!$E$4,Table14[[#This Row],[Total Losses]]&gt;=40001,Guidelines!$G$4)</f>
        <v>5</v>
      </c>
      <c r="S7" cm="1">
        <f t="array" ref="S7">_xlfn.IFS(Table14[[#This Row],[Requested Limit]]=100000,Guidelines!$C$11,Table14[[#This Row],[Requested Limit]]=200000,Guidelines!$G$11)</f>
        <v>3</v>
      </c>
      <c r="T7" cm="1">
        <f t="array" ref="T7">_xlfn.IFS(Table14[[#This Row],[Safety Program]]="Yes",Guidelines!$C$5,Table14[[#This Row],[Safety Program]]="Partial",Guidelines!$E$5,Table14[[#This Row],[Safety Program]]="No",Guidelines!$G$5)</f>
        <v>1</v>
      </c>
      <c r="U7" cm="1">
        <f t="array" ref="U7">_xlfn.IFS(Table14[[#This Row],[Prior Cancellation]]="No",Guidelines!$C$6,Table14[[#This Row],[Prior Cancellation]]="Yes",Guidelines!$G$6)</f>
        <v>1</v>
      </c>
      <c r="V7" cm="1">
        <f t="array" ref="V7">_xlfn.IFS(Table14[[#This Row],[Property Condition]]="Good",Guidelines!$C$7,Table14[[#This Row],[Property Condition]]="Average",Guidelines!$E$7,Table14[[#This Row],[Property Condition]]="Poor",Guidelines!$G$7)</f>
        <v>2</v>
      </c>
      <c r="W7">
        <f>SUM(Table14[[#This Row],[Industry Risk Score]:[Property Condition Risk Score]])</f>
        <v>28</v>
      </c>
      <c r="X7" t="str" cm="1">
        <f t="array" ref="X7">_xlfn.IFS(Table14[[#This Row],[Total Risk Score]]&lt;=20,"Low Risk",Table14[[#This Row],[Total Risk Score]]&lt;=23,"Medium Risk",Table14[[#This Row],[Total Risk Score]]&gt;=24,"High Risk")</f>
        <v>High Risk</v>
      </c>
      <c r="Y7" t="str" cm="1">
        <f t="array" ref="Y7">_xlfn.IFS(Table14[[#This Row],[Risk Tier]]="Low Risk", "Approve",AND(Table14[[#This Row],[Risk Tier]]="Medium Risk",Table14[[#This Row],[Years In Business]]&gt;=8),"Approve",AND(Table14[[#This Row],[Risk Tier]]="Medium Risk",Table14[[#This Row],[Years In Business]]&lt;=7),"Refer to Senior Underwriter",Table14[[#This Row],[Risk Tier]]="High Risk","Decline")</f>
        <v>Decline</v>
      </c>
      <c r="Z7" t="str" cm="1">
        <f t="array" ref="Z7">_xlfn.IFS(Table14[[#This Row],[Underwriting Decision]]="Approve","Acceptable risk based on overall risk factors",Table14[[#This Row],[Underwriting Decision]]="Refer to Senior Underwriter","Risk level is close to approval threshold. Senior Underwriter needs to approve this.",Table14[[#This Row],[Underwriting Decision]]="Decline", "Risk level is too high based on risk factors")</f>
        <v>Risk level is too high based on risk factors</v>
      </c>
    </row>
    <row r="8" spans="1:26" x14ac:dyDescent="0.3">
      <c r="A8" t="s">
        <v>18</v>
      </c>
      <c r="B8" t="s">
        <v>35</v>
      </c>
      <c r="C8" t="s">
        <v>22</v>
      </c>
      <c r="D8">
        <v>10</v>
      </c>
      <c r="E8" s="1">
        <v>1500000</v>
      </c>
      <c r="F8">
        <v>28</v>
      </c>
      <c r="G8">
        <v>1</v>
      </c>
      <c r="H8" s="1">
        <v>7000</v>
      </c>
      <c r="I8" s="2">
        <v>200000</v>
      </c>
      <c r="J8" t="s">
        <v>43</v>
      </c>
      <c r="K8" t="s">
        <v>43</v>
      </c>
      <c r="L8" s="3" t="s">
        <v>46</v>
      </c>
      <c r="M8" cm="1">
        <f t="array" ref="M8">_xlfn.IFS(OR(Table14[[#This Row],[Industry]]="Automotive",Table14[[#This Row],[Industry]]="Clothing",Table14[[#This Row],[Industry]]="Fast Food"),Guidelines!$C$8,OR(Table14[[#This Row],[Industry]]="Restaurant",Table14[[#This Row],[Industry]]="Retail",Table14[[#This Row],[Industry]]="Delivery"),Guidelines!$E$8,OR(Table14[[#This Row],[Industry]]="Consumer Electronics",Table14[[#This Row],[Industry]]="Auto Repair",Table14[[#This Row],[Industry]]="E-Commerce"),Guidelines!$G$8)</f>
        <v>5</v>
      </c>
      <c r="N8" cm="1">
        <f t="array" ref="N8">_xlfn.IFS(Table14[[#This Row],[Years In Business]]&lt;=2,Guidelines!$G$2,Table14[[#This Row],[Years In Business]]&lt;=6,Guidelines!$E$2,Table14[[#This Row],[Years In Business]]&gt;=7,Guidelines!$C$2)</f>
        <v>1</v>
      </c>
      <c r="O8" cm="1">
        <f t="array" ref="O8">_xlfn.IFS(Table14[[#This Row],[Annual Revenue]]&lt;=400000,Guidelines!$C$9,Table14[[#This Row],[Annual Revenue]]&lt;=1000000,Guidelines!$E$9,Table14[[#This Row],[Annual Revenue]]&gt;=1000001,Guidelines!$G$9)</f>
        <v>3</v>
      </c>
      <c r="P8" cm="1">
        <f t="array" ref="P8">_xlfn.IFS(Table14[[#This Row],[Employees]]&lt;=10,Guidelines!$C$10,Table14[[#This Row],[Employees]]&lt;=20,Guidelines!$E$10,Table14[[#This Row],[Employees]]&gt;=21,Guidelines!$G$10)</f>
        <v>3</v>
      </c>
      <c r="Q8" cm="1">
        <f t="array" ref="Q8">_xlfn.IFS(Table14[[#This Row],[Prior Claims]]=0,Guidelines!$C$3,Table14[[#This Row],[Prior Claims]]&lt;=2,Guidelines!$E$3,Table14[[#This Row],[Prior Claims]]&gt;=3,Guidelines!$G$3)</f>
        <v>2</v>
      </c>
      <c r="R8" cm="1">
        <f t="array" ref="R8">_xlfn.IFS(Table14[[#This Row],[Total Losses]]&lt;=15000,Guidelines!$C$4,Table14[[#This Row],[Total Losses]]&lt;=40000,Guidelines!$E$4,Table14[[#This Row],[Total Losses]]&gt;=40001,Guidelines!$G$4)</f>
        <v>1</v>
      </c>
      <c r="S8" cm="1">
        <f t="array" ref="S8">_xlfn.IFS(Table14[[#This Row],[Requested Limit]]=100000,Guidelines!$C$11,Table14[[#This Row],[Requested Limit]]=200000,Guidelines!$G$11)</f>
        <v>3</v>
      </c>
      <c r="T8" cm="1">
        <f t="array" ref="T8">_xlfn.IFS(Table14[[#This Row],[Safety Program]]="Yes",Guidelines!$C$5,Table14[[#This Row],[Safety Program]]="Partial",Guidelines!$E$5,Table14[[#This Row],[Safety Program]]="No",Guidelines!$G$5)</f>
        <v>1</v>
      </c>
      <c r="U8" cm="1">
        <f t="array" ref="U8">_xlfn.IFS(Table14[[#This Row],[Prior Cancellation]]="No",Guidelines!$C$6,Table14[[#This Row],[Prior Cancellation]]="Yes",Guidelines!$G$6)</f>
        <v>2</v>
      </c>
      <c r="V8" cm="1">
        <f t="array" ref="V8">_xlfn.IFS(Table14[[#This Row],[Property Condition]]="Good",Guidelines!$C$7,Table14[[#This Row],[Property Condition]]="Average",Guidelines!$E$7,Table14[[#This Row],[Property Condition]]="Poor",Guidelines!$G$7)</f>
        <v>2</v>
      </c>
      <c r="W8">
        <f>SUM(Table14[[#This Row],[Industry Risk Score]:[Property Condition Risk Score]])</f>
        <v>23</v>
      </c>
      <c r="X8" t="str" cm="1">
        <f t="array" ref="X8">_xlfn.IFS(Table14[[#This Row],[Total Risk Score]]&lt;=20,"Low Risk",Table14[[#This Row],[Total Risk Score]]&lt;=23,"Medium Risk",Table14[[#This Row],[Total Risk Score]]&gt;=24,"High Risk")</f>
        <v>Medium Risk</v>
      </c>
      <c r="Y8" t="str" cm="1">
        <f t="array" ref="Y8">_xlfn.IFS(Table14[[#This Row],[Risk Tier]]="Low Risk", "Approve",AND(Table14[[#This Row],[Risk Tier]]="Medium Risk",Table14[[#This Row],[Years In Business]]&gt;=8),"Approve",AND(Table14[[#This Row],[Risk Tier]]="Medium Risk",Table14[[#This Row],[Years In Business]]&lt;=7),"Refer to Senior Underwriter",Table14[[#This Row],[Risk Tier]]="High Risk","Decline")</f>
        <v>Approve</v>
      </c>
      <c r="Z8" t="str" cm="1">
        <f t="array" ref="Z8">_xlfn.IFS(Table14[[#This Row],[Underwriting Decision]]="Approve","Acceptable risk based on overall risk factors",Table14[[#This Row],[Underwriting Decision]]="Refer to Senior Underwriter","Risk level is close to approval threshold. Senior Underwriter needs to approve this.",Table14[[#This Row],[Underwriting Decision]]="Decline", "Risk level is too high based on risk factors")</f>
        <v>Acceptable risk based on overall risk factors</v>
      </c>
    </row>
    <row r="9" spans="1:26" x14ac:dyDescent="0.3">
      <c r="A9" t="s">
        <v>19</v>
      </c>
      <c r="B9" t="s">
        <v>28</v>
      </c>
      <c r="C9" t="s">
        <v>33</v>
      </c>
      <c r="D9">
        <v>2</v>
      </c>
      <c r="E9" s="1">
        <v>450000</v>
      </c>
      <c r="F9">
        <v>8</v>
      </c>
      <c r="G9">
        <v>2</v>
      </c>
      <c r="H9" s="1">
        <v>25000</v>
      </c>
      <c r="I9" s="2">
        <v>100000</v>
      </c>
      <c r="J9" t="s">
        <v>41</v>
      </c>
      <c r="K9" t="s">
        <v>43</v>
      </c>
      <c r="L9" s="3" t="s">
        <v>44</v>
      </c>
      <c r="M9" cm="1">
        <f t="array" ref="M9">_xlfn.IFS(OR(Table14[[#This Row],[Industry]]="Automotive",Table14[[#This Row],[Industry]]="Clothing",Table14[[#This Row],[Industry]]="Fast Food"),Guidelines!$C$8,OR(Table14[[#This Row],[Industry]]="Restaurant",Table14[[#This Row],[Industry]]="Retail",Table14[[#This Row],[Industry]]="Delivery"),Guidelines!$E$8,OR(Table14[[#This Row],[Industry]]="Consumer Electronics",Table14[[#This Row],[Industry]]="Auto Repair",Table14[[#This Row],[Industry]]="E-Commerce"),Guidelines!$G$8)</f>
        <v>5</v>
      </c>
      <c r="N9" cm="1">
        <f t="array" ref="N9">_xlfn.IFS(Table14[[#This Row],[Years In Business]]&lt;=2,Guidelines!$G$2,Table14[[#This Row],[Years In Business]]&lt;=6,Guidelines!$E$2,Table14[[#This Row],[Years In Business]]&gt;=7,Guidelines!$C$2)</f>
        <v>5</v>
      </c>
      <c r="O9" cm="1">
        <f t="array" ref="O9">_xlfn.IFS(Table14[[#This Row],[Annual Revenue]]&lt;=400000,Guidelines!$C$9,Table14[[#This Row],[Annual Revenue]]&lt;=1000000,Guidelines!$E$9,Table14[[#This Row],[Annual Revenue]]&gt;=1000001,Guidelines!$G$9)</f>
        <v>2</v>
      </c>
      <c r="P9" cm="1">
        <f t="array" ref="P9">_xlfn.IFS(Table14[[#This Row],[Employees]]&lt;=10,Guidelines!$C$10,Table14[[#This Row],[Employees]]&lt;=20,Guidelines!$E$10,Table14[[#This Row],[Employees]]&gt;=21,Guidelines!$G$10)</f>
        <v>1</v>
      </c>
      <c r="Q9" cm="1">
        <f t="array" ref="Q9">_xlfn.IFS(Table14[[#This Row],[Prior Claims]]=0,Guidelines!$C$3,Table14[[#This Row],[Prior Claims]]&lt;=2,Guidelines!$E$3,Table14[[#This Row],[Prior Claims]]&gt;=3,Guidelines!$G$3)</f>
        <v>2</v>
      </c>
      <c r="R9" cm="1">
        <f t="array" ref="R9">_xlfn.IFS(Table14[[#This Row],[Total Losses]]&lt;=15000,Guidelines!$C$4,Table14[[#This Row],[Total Losses]]&lt;=40000,Guidelines!$E$4,Table14[[#This Row],[Total Losses]]&gt;=40001,Guidelines!$G$4)</f>
        <v>2</v>
      </c>
      <c r="S9" cm="1">
        <f t="array" ref="S9">_xlfn.IFS(Table14[[#This Row],[Requested Limit]]=100000,Guidelines!$C$11,Table14[[#This Row],[Requested Limit]]=200000,Guidelines!$G$11)</f>
        <v>1</v>
      </c>
      <c r="T9" cm="1">
        <f t="array" ref="T9">_xlfn.IFS(Table14[[#This Row],[Safety Program]]="Yes",Guidelines!$C$5,Table14[[#This Row],[Safety Program]]="Partial",Guidelines!$E$5,Table14[[#This Row],[Safety Program]]="No",Guidelines!$G$5)</f>
        <v>3</v>
      </c>
      <c r="U9" cm="1">
        <f t="array" ref="U9">_xlfn.IFS(Table14[[#This Row],[Prior Cancellation]]="No",Guidelines!$C$6,Table14[[#This Row],[Prior Cancellation]]="Yes",Guidelines!$G$6)</f>
        <v>2</v>
      </c>
      <c r="V9" cm="1">
        <f t="array" ref="V9">_xlfn.IFS(Table14[[#This Row],[Property Condition]]="Good",Guidelines!$C$7,Table14[[#This Row],[Property Condition]]="Average",Guidelines!$E$7,Table14[[#This Row],[Property Condition]]="Poor",Guidelines!$G$7)</f>
        <v>1</v>
      </c>
      <c r="W9">
        <f>SUM(Table14[[#This Row],[Industry Risk Score]:[Property Condition Risk Score]])</f>
        <v>24</v>
      </c>
      <c r="X9" t="str" cm="1">
        <f t="array" ref="X9">_xlfn.IFS(Table14[[#This Row],[Total Risk Score]]&lt;=20,"Low Risk",Table14[[#This Row],[Total Risk Score]]&lt;=23,"Medium Risk",Table14[[#This Row],[Total Risk Score]]&gt;=24,"High Risk")</f>
        <v>High Risk</v>
      </c>
      <c r="Y9" t="str" cm="1">
        <f t="array" ref="Y9">_xlfn.IFS(Table14[[#This Row],[Risk Tier]]="Low Risk", "Approve",AND(Table14[[#This Row],[Risk Tier]]="Medium Risk",Table14[[#This Row],[Years In Business]]&gt;=8),"Approve",AND(Table14[[#This Row],[Risk Tier]]="Medium Risk",Table14[[#This Row],[Years In Business]]&lt;=7),"Refer to Senior Underwriter",Table14[[#This Row],[Risk Tier]]="High Risk","Decline")</f>
        <v>Decline</v>
      </c>
      <c r="Z9" t="str" cm="1">
        <f t="array" ref="Z9">_xlfn.IFS(Table14[[#This Row],[Underwriting Decision]]="Approve","Acceptable risk based on overall risk factors",Table14[[#This Row],[Underwriting Decision]]="Refer to Senior Underwriter","Risk level is close to approval threshold. Senior Underwriter needs to approve this.",Table14[[#This Row],[Underwriting Decision]]="Decline", "Risk level is too high based on risk factors")</f>
        <v>Risk level is too high based on risk factors</v>
      </c>
    </row>
    <row r="10" spans="1:26" x14ac:dyDescent="0.3">
      <c r="A10" t="s">
        <v>20</v>
      </c>
      <c r="B10" t="s">
        <v>38</v>
      </c>
      <c r="C10" t="s">
        <v>25</v>
      </c>
      <c r="D10">
        <v>7</v>
      </c>
      <c r="E10" s="1">
        <v>2500000</v>
      </c>
      <c r="F10">
        <v>35</v>
      </c>
      <c r="G10">
        <v>3</v>
      </c>
      <c r="H10" s="1">
        <v>45000</v>
      </c>
      <c r="I10" s="2">
        <v>200000</v>
      </c>
      <c r="J10" t="s">
        <v>43</v>
      </c>
      <c r="K10" t="s">
        <v>41</v>
      </c>
      <c r="L10" s="3" t="s">
        <v>46</v>
      </c>
      <c r="M10" cm="1">
        <f t="array" ref="M10">_xlfn.IFS(OR(Table14[[#This Row],[Industry]]="Automotive",Table14[[#This Row],[Industry]]="Clothing",Table14[[#This Row],[Industry]]="Fast Food"),Guidelines!$C$8,OR(Table14[[#This Row],[Industry]]="Restaurant",Table14[[#This Row],[Industry]]="Retail",Table14[[#This Row],[Industry]]="Delivery"),Guidelines!$E$8,OR(Table14[[#This Row],[Industry]]="Consumer Electronics",Table14[[#This Row],[Industry]]="Auto Repair",Table14[[#This Row],[Industry]]="E-Commerce"),Guidelines!$G$8)</f>
        <v>1</v>
      </c>
      <c r="N10" cm="1">
        <f t="array" ref="N10">_xlfn.IFS(Table14[[#This Row],[Years In Business]]&lt;=2,Guidelines!$G$2,Table14[[#This Row],[Years In Business]]&lt;=6,Guidelines!$E$2,Table14[[#This Row],[Years In Business]]&gt;=7,Guidelines!$C$2)</f>
        <v>1</v>
      </c>
      <c r="O10" cm="1">
        <f t="array" ref="O10">_xlfn.IFS(Table14[[#This Row],[Annual Revenue]]&lt;=400000,Guidelines!$C$9,Table14[[#This Row],[Annual Revenue]]&lt;=1000000,Guidelines!$E$9,Table14[[#This Row],[Annual Revenue]]&gt;=1000001,Guidelines!$G$9)</f>
        <v>3</v>
      </c>
      <c r="P10" cm="1">
        <f t="array" ref="P10">_xlfn.IFS(Table14[[#This Row],[Employees]]&lt;=10,Guidelines!$C$10,Table14[[#This Row],[Employees]]&lt;=20,Guidelines!$E$10,Table14[[#This Row],[Employees]]&gt;=21,Guidelines!$G$10)</f>
        <v>3</v>
      </c>
      <c r="Q10" cm="1">
        <f t="array" ref="Q10">_xlfn.IFS(Table14[[#This Row],[Prior Claims]]=0,Guidelines!$C$3,Table14[[#This Row],[Prior Claims]]&lt;=2,Guidelines!$E$3,Table14[[#This Row],[Prior Claims]]&gt;=3,Guidelines!$G$3)</f>
        <v>4</v>
      </c>
      <c r="R10" cm="1">
        <f t="array" ref="R10">_xlfn.IFS(Table14[[#This Row],[Total Losses]]&lt;=15000,Guidelines!$C$4,Table14[[#This Row],[Total Losses]]&lt;=40000,Guidelines!$E$4,Table14[[#This Row],[Total Losses]]&gt;=40001,Guidelines!$G$4)</f>
        <v>5</v>
      </c>
      <c r="S10" cm="1">
        <f t="array" ref="S10">_xlfn.IFS(Table14[[#This Row],[Requested Limit]]=100000,Guidelines!$C$11,Table14[[#This Row],[Requested Limit]]=200000,Guidelines!$G$11)</f>
        <v>3</v>
      </c>
      <c r="T10" cm="1">
        <f t="array" ref="T10">_xlfn.IFS(Table14[[#This Row],[Safety Program]]="Yes",Guidelines!$C$5,Table14[[#This Row],[Safety Program]]="Partial",Guidelines!$E$5,Table14[[#This Row],[Safety Program]]="No",Guidelines!$G$5)</f>
        <v>1</v>
      </c>
      <c r="U10" cm="1">
        <f t="array" ref="U10">_xlfn.IFS(Table14[[#This Row],[Prior Cancellation]]="No",Guidelines!$C$6,Table14[[#This Row],[Prior Cancellation]]="Yes",Guidelines!$G$6)</f>
        <v>1</v>
      </c>
      <c r="V10" cm="1">
        <f t="array" ref="V10">_xlfn.IFS(Table14[[#This Row],[Property Condition]]="Good",Guidelines!$C$7,Table14[[#This Row],[Property Condition]]="Average",Guidelines!$E$7,Table14[[#This Row],[Property Condition]]="Poor",Guidelines!$G$7)</f>
        <v>2</v>
      </c>
      <c r="W10">
        <f>SUM(Table14[[#This Row],[Industry Risk Score]:[Property Condition Risk Score]])</f>
        <v>24</v>
      </c>
      <c r="X10" t="str" cm="1">
        <f t="array" ref="X10">_xlfn.IFS(Table14[[#This Row],[Total Risk Score]]&lt;=20,"Low Risk",Table14[[#This Row],[Total Risk Score]]&lt;=23,"Medium Risk",Table14[[#This Row],[Total Risk Score]]&gt;=24,"High Risk")</f>
        <v>High Risk</v>
      </c>
      <c r="Y10" t="str" cm="1">
        <f t="array" ref="Y10">_xlfn.IFS(Table14[[#This Row],[Risk Tier]]="Low Risk", "Approve",AND(Table14[[#This Row],[Risk Tier]]="Medium Risk",Table14[[#This Row],[Years In Business]]&gt;=8),"Approve",AND(Table14[[#This Row],[Risk Tier]]="Medium Risk",Table14[[#This Row],[Years In Business]]&lt;=7),"Refer to Senior Underwriter",Table14[[#This Row],[Risk Tier]]="High Risk","Decline")</f>
        <v>Decline</v>
      </c>
      <c r="Z10" t="str" cm="1">
        <f t="array" ref="Z10">_xlfn.IFS(Table14[[#This Row],[Underwriting Decision]]="Approve","Acceptable risk based on overall risk factors",Table14[[#This Row],[Underwriting Decision]]="Refer to Senior Underwriter","Risk level is close to approval threshold. Senior Underwriter needs to approve this.",Table14[[#This Row],[Underwriting Decision]]="Decline", "Risk level is too high based on risk factors")</f>
        <v>Risk level is too high based on risk factors</v>
      </c>
    </row>
    <row r="11" spans="1:26" x14ac:dyDescent="0.3">
      <c r="A11" t="s">
        <v>21</v>
      </c>
      <c r="B11" t="s">
        <v>39</v>
      </c>
      <c r="C11" t="s">
        <v>40</v>
      </c>
      <c r="D11">
        <v>9</v>
      </c>
      <c r="E11" s="1">
        <v>950000</v>
      </c>
      <c r="F11">
        <v>12</v>
      </c>
      <c r="G11">
        <v>2</v>
      </c>
      <c r="H11" s="1">
        <v>12000</v>
      </c>
      <c r="I11" s="2">
        <v>200000</v>
      </c>
      <c r="J11" t="s">
        <v>42</v>
      </c>
      <c r="K11" t="s">
        <v>43</v>
      </c>
      <c r="L11" s="3" t="s">
        <v>45</v>
      </c>
      <c r="M11" cm="1">
        <f t="array" ref="M11">_xlfn.IFS(OR(Table14[[#This Row],[Industry]]="Automotive",Table14[[#This Row],[Industry]]="Clothing",Table14[[#This Row],[Industry]]="Fast Food"),Guidelines!$C$8,OR(Table14[[#This Row],[Industry]]="Restaurant",Table14[[#This Row],[Industry]]="Retail",Table14[[#This Row],[Industry]]="Delivery"),Guidelines!$E$8,OR(Table14[[#This Row],[Industry]]="Consumer Electronics",Table14[[#This Row],[Industry]]="Auto Repair",Table14[[#This Row],[Industry]]="E-Commerce"),Guidelines!$G$8)</f>
        <v>1</v>
      </c>
      <c r="N11" cm="1">
        <f t="array" ref="N11">_xlfn.IFS(Table14[[#This Row],[Years In Business]]&lt;=2,Guidelines!$G$2,Table14[[#This Row],[Years In Business]]&lt;=6,Guidelines!$E$2,Table14[[#This Row],[Years In Business]]&gt;=7,Guidelines!$C$2)</f>
        <v>1</v>
      </c>
      <c r="O11" cm="1">
        <f t="array" ref="O11">_xlfn.IFS(Table14[[#This Row],[Annual Revenue]]&lt;=400000,Guidelines!$C$9,Table14[[#This Row],[Annual Revenue]]&lt;=1000000,Guidelines!$E$9,Table14[[#This Row],[Annual Revenue]]&gt;=1000001,Guidelines!$G$9)</f>
        <v>2</v>
      </c>
      <c r="P11" cm="1">
        <f t="array" ref="P11">_xlfn.IFS(Table14[[#This Row],[Employees]]&lt;=10,Guidelines!$C$10,Table14[[#This Row],[Employees]]&lt;=20,Guidelines!$E$10,Table14[[#This Row],[Employees]]&gt;=21,Guidelines!$G$10)</f>
        <v>2</v>
      </c>
      <c r="Q11" cm="1">
        <f t="array" ref="Q11">_xlfn.IFS(Table14[[#This Row],[Prior Claims]]=0,Guidelines!$C$3,Table14[[#This Row],[Prior Claims]]&lt;=2,Guidelines!$E$3,Table14[[#This Row],[Prior Claims]]&gt;=3,Guidelines!$G$3)</f>
        <v>2</v>
      </c>
      <c r="R11" cm="1">
        <f t="array" ref="R11">_xlfn.IFS(Table14[[#This Row],[Total Losses]]&lt;=15000,Guidelines!$C$4,Table14[[#This Row],[Total Losses]]&lt;=40000,Guidelines!$E$4,Table14[[#This Row],[Total Losses]]&gt;=40001,Guidelines!$G$4)</f>
        <v>1</v>
      </c>
      <c r="S11" cm="1">
        <f t="array" ref="S11">_xlfn.IFS(Table14[[#This Row],[Requested Limit]]=100000,Guidelines!$C$11,Table14[[#This Row],[Requested Limit]]=200000,Guidelines!$G$11)</f>
        <v>3</v>
      </c>
      <c r="T11" cm="1">
        <f t="array" ref="T11">_xlfn.IFS(Table14[[#This Row],[Safety Program]]="Yes",Guidelines!$C$5,Table14[[#This Row],[Safety Program]]="Partial",Guidelines!$E$5,Table14[[#This Row],[Safety Program]]="No",Guidelines!$G$5)</f>
        <v>2</v>
      </c>
      <c r="U11" cm="1">
        <f t="array" ref="U11">_xlfn.IFS(Table14[[#This Row],[Prior Cancellation]]="No",Guidelines!$C$6,Table14[[#This Row],[Prior Cancellation]]="Yes",Guidelines!$G$6)</f>
        <v>2</v>
      </c>
      <c r="V11" cm="1">
        <f t="array" ref="V11">_xlfn.IFS(Table14[[#This Row],[Property Condition]]="Good",Guidelines!$C$7,Table14[[#This Row],[Property Condition]]="Average",Guidelines!$E$7,Table14[[#This Row],[Property Condition]]="Poor",Guidelines!$G$7)</f>
        <v>4</v>
      </c>
      <c r="W11">
        <f>SUM(Table14[[#This Row],[Industry Risk Score]:[Property Condition Risk Score]])</f>
        <v>20</v>
      </c>
      <c r="X11" t="str" cm="1">
        <f t="array" ref="X11">_xlfn.IFS(Table14[[#This Row],[Total Risk Score]]&lt;=20,"Low Risk",Table14[[#This Row],[Total Risk Score]]&lt;=23,"Medium Risk",Table14[[#This Row],[Total Risk Score]]&gt;=24,"High Risk")</f>
        <v>Low Risk</v>
      </c>
      <c r="Y11" t="str" cm="1">
        <f t="array" ref="Y11">_xlfn.IFS(Table14[[#This Row],[Risk Tier]]="Low Risk", "Approve",AND(Table14[[#This Row],[Risk Tier]]="Medium Risk",Table14[[#This Row],[Years In Business]]&gt;=8),"Approve",AND(Table14[[#This Row],[Risk Tier]]="Medium Risk",Table14[[#This Row],[Years In Business]]&lt;=7),"Refer to Senior Underwriter",Table14[[#This Row],[Risk Tier]]="High Risk","Decline")</f>
        <v>Approve</v>
      </c>
      <c r="Z11" t="str" cm="1">
        <f t="array" ref="Z11">_xlfn.IFS(Table14[[#This Row],[Underwriting Decision]]="Approve","Acceptable risk based on overall risk factors",Table14[[#This Row],[Underwriting Decision]]="Refer to Senior Underwriter","Risk level is close to approval threshold. Senior Underwriter needs to approve this.",Table14[[#This Row],[Underwriting Decision]]="Decline", "Risk level is too high based on risk factors")</f>
        <v>Acceptable risk based on overall risk factors</v>
      </c>
    </row>
    <row r="24" spans="10:14" x14ac:dyDescent="0.3">
      <c r="L24" s="4"/>
      <c r="N24" s="5"/>
    </row>
    <row r="25" spans="10:14" x14ac:dyDescent="0.3">
      <c r="J25" s="6"/>
      <c r="N25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5026-1A9A-43A3-94A0-057670A1BCE0}">
  <dimension ref="A1:B19"/>
  <sheetViews>
    <sheetView workbookViewId="0">
      <selection activeCell="E11" sqref="E11"/>
    </sheetView>
  </sheetViews>
  <sheetFormatPr defaultRowHeight="14.4" x14ac:dyDescent="0.3"/>
  <cols>
    <col min="1" max="1" width="22.88671875" bestFit="1" customWidth="1"/>
    <col min="2" max="2" width="26.77734375" bestFit="1" customWidth="1"/>
  </cols>
  <sheetData>
    <row r="1" spans="1:2" x14ac:dyDescent="0.3">
      <c r="A1" s="8" t="s">
        <v>99</v>
      </c>
      <c r="B1" s="9" t="s">
        <v>101</v>
      </c>
    </row>
    <row r="2" spans="1:2" x14ac:dyDescent="0.3">
      <c r="A2" s="14" t="s">
        <v>92</v>
      </c>
      <c r="B2" s="9">
        <v>4</v>
      </c>
    </row>
    <row r="3" spans="1:2" x14ac:dyDescent="0.3">
      <c r="A3" s="10" t="s">
        <v>93</v>
      </c>
      <c r="B3" s="11">
        <v>2</v>
      </c>
    </row>
    <row r="4" spans="1:2" x14ac:dyDescent="0.3">
      <c r="A4" s="12" t="s">
        <v>94</v>
      </c>
      <c r="B4" s="13">
        <v>4</v>
      </c>
    </row>
    <row r="5" spans="1:2" x14ac:dyDescent="0.3">
      <c r="A5" s="12" t="s">
        <v>100</v>
      </c>
      <c r="B5" s="13">
        <v>10</v>
      </c>
    </row>
    <row r="8" spans="1:2" x14ac:dyDescent="0.3">
      <c r="A8" s="8" t="s">
        <v>99</v>
      </c>
      <c r="B8" s="9" t="s">
        <v>102</v>
      </c>
    </row>
    <row r="9" spans="1:2" x14ac:dyDescent="0.3">
      <c r="A9" s="14" t="s">
        <v>29</v>
      </c>
      <c r="B9" s="9">
        <v>20</v>
      </c>
    </row>
    <row r="10" spans="1:2" x14ac:dyDescent="0.3">
      <c r="A10" s="10" t="s">
        <v>36</v>
      </c>
      <c r="B10" s="11">
        <v>21</v>
      </c>
    </row>
    <row r="11" spans="1:2" x14ac:dyDescent="0.3">
      <c r="A11" s="10" t="s">
        <v>26</v>
      </c>
      <c r="B11" s="11">
        <v>18</v>
      </c>
    </row>
    <row r="12" spans="1:2" x14ac:dyDescent="0.3">
      <c r="A12" s="10" t="s">
        <v>35</v>
      </c>
      <c r="B12" s="11">
        <v>23</v>
      </c>
    </row>
    <row r="13" spans="1:2" x14ac:dyDescent="0.3">
      <c r="A13" s="10" t="s">
        <v>28</v>
      </c>
      <c r="B13" s="11">
        <v>24</v>
      </c>
    </row>
    <row r="14" spans="1:2" x14ac:dyDescent="0.3">
      <c r="A14" s="10" t="s">
        <v>31</v>
      </c>
      <c r="B14" s="11">
        <v>28</v>
      </c>
    </row>
    <row r="15" spans="1:2" x14ac:dyDescent="0.3">
      <c r="A15" s="10" t="s">
        <v>30</v>
      </c>
      <c r="B15" s="11">
        <v>21</v>
      </c>
    </row>
    <row r="16" spans="1:2" x14ac:dyDescent="0.3">
      <c r="A16" s="10" t="s">
        <v>39</v>
      </c>
      <c r="B16" s="11">
        <v>20</v>
      </c>
    </row>
    <row r="17" spans="1:2" x14ac:dyDescent="0.3">
      <c r="A17" s="10" t="s">
        <v>38</v>
      </c>
      <c r="B17" s="11">
        <v>24</v>
      </c>
    </row>
    <row r="18" spans="1:2" x14ac:dyDescent="0.3">
      <c r="A18" s="12" t="s">
        <v>27</v>
      </c>
      <c r="B18" s="13">
        <v>24</v>
      </c>
    </row>
    <row r="19" spans="1:2" x14ac:dyDescent="0.3">
      <c r="A19" s="12" t="s">
        <v>100</v>
      </c>
      <c r="B19" s="13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Applicant</vt:lpstr>
      <vt:lpstr>Guidelines</vt:lpstr>
      <vt:lpstr>Underwriting Review Tab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Quinones</dc:creator>
  <cp:lastModifiedBy>Andy Quinones</cp:lastModifiedBy>
  <dcterms:created xsi:type="dcterms:W3CDTF">2026-05-12T20:25:04Z</dcterms:created>
  <dcterms:modified xsi:type="dcterms:W3CDTF">2026-05-22T17:09:52Z</dcterms:modified>
</cp:coreProperties>
</file>